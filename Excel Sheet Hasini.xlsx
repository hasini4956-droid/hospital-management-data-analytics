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neet Kaur\OneDrive\Desktop\"/>
    </mc:Choice>
  </mc:AlternateContent>
  <bookViews>
    <workbookView xWindow="240" yWindow="12" windowWidth="16092" windowHeight="9660"/>
  </bookViews>
  <sheets>
    <sheet name="4_5_Filter_Sort" sheetId="2" r:id="rId1"/>
    <sheet name="Lookup_Table" sheetId="3" r:id="rId2"/>
    <sheet name="7_8_Merge_Transform" sheetId="4" r:id="rId3"/>
    <sheet name="6_9_Chart_Aggregate" sheetId="5" r:id="rId4"/>
  </sheets>
  <definedNames>
    <definedName name="_xlnm._FilterDatabase" localSheetId="0" hidden="1">'4_5_Filter_Sort'!$A$4:$Q$504</definedName>
  </definedNames>
  <calcPr calcId="152511"/>
</workbook>
</file>

<file path=xl/calcChain.xml><?xml version="1.0" encoding="utf-8"?>
<calcChain xmlns="http://schemas.openxmlformats.org/spreadsheetml/2006/main">
  <c r="G504" i="4" l="1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</calcChain>
</file>

<file path=xl/sharedStrings.xml><?xml version="1.0" encoding="utf-8"?>
<sst xmlns="http://schemas.openxmlformats.org/spreadsheetml/2006/main" count="8058" uniqueCount="1765">
  <si>
    <t>Patient_ID</t>
  </si>
  <si>
    <t>Name</t>
  </si>
  <si>
    <t>Age</t>
  </si>
  <si>
    <t>Gender</t>
  </si>
  <si>
    <t>Blood_Group</t>
  </si>
  <si>
    <t>Department</t>
  </si>
  <si>
    <t>Diagnosis</t>
  </si>
  <si>
    <t>Admission_Date</t>
  </si>
  <si>
    <t>Discharge_Date</t>
  </si>
  <si>
    <t>Length_of_Stay</t>
  </si>
  <si>
    <t>Bed_Number</t>
  </si>
  <si>
    <t>Doctor</t>
  </si>
  <si>
    <t>Treatment_Cost_INR</t>
  </si>
  <si>
    <t>Insurance_Covered</t>
  </si>
  <si>
    <t>Outcome</t>
  </si>
  <si>
    <t>Readmitted_Within_30_Days</t>
  </si>
  <si>
    <t>HOS-00001</t>
  </si>
  <si>
    <t>HOS-00002</t>
  </si>
  <si>
    <t>HOS-00003</t>
  </si>
  <si>
    <t>HOS-00004</t>
  </si>
  <si>
    <t>HOS-00005</t>
  </si>
  <si>
    <t>HOS-00006</t>
  </si>
  <si>
    <t>HOS-00007</t>
  </si>
  <si>
    <t>HOS-00008</t>
  </si>
  <si>
    <t>HOS-00009</t>
  </si>
  <si>
    <t>HOS-00010</t>
  </si>
  <si>
    <t>HOS-00011</t>
  </si>
  <si>
    <t>HOS-00012</t>
  </si>
  <si>
    <t>HOS-00013</t>
  </si>
  <si>
    <t>HOS-00014</t>
  </si>
  <si>
    <t>HOS-00015</t>
  </si>
  <si>
    <t>HOS-00016</t>
  </si>
  <si>
    <t>HOS-00017</t>
  </si>
  <si>
    <t>HOS-00018</t>
  </si>
  <si>
    <t>HOS-00019</t>
  </si>
  <si>
    <t>HOS-00020</t>
  </si>
  <si>
    <t>HOS-00021</t>
  </si>
  <si>
    <t>HOS-00022</t>
  </si>
  <si>
    <t>HOS-00023</t>
  </si>
  <si>
    <t>HOS-00024</t>
  </si>
  <si>
    <t>HOS-00025</t>
  </si>
  <si>
    <t>HOS-00026</t>
  </si>
  <si>
    <t>HOS-00027</t>
  </si>
  <si>
    <t>HOS-00028</t>
  </si>
  <si>
    <t>HOS-00029</t>
  </si>
  <si>
    <t>HOS-00030</t>
  </si>
  <si>
    <t>HOS-00031</t>
  </si>
  <si>
    <t>HOS-00032</t>
  </si>
  <si>
    <t>HOS-00033</t>
  </si>
  <si>
    <t>HOS-00034</t>
  </si>
  <si>
    <t>HOS-00035</t>
  </si>
  <si>
    <t>HOS-00036</t>
  </si>
  <si>
    <t>HOS-00037</t>
  </si>
  <si>
    <t>HOS-00038</t>
  </si>
  <si>
    <t>HOS-00039</t>
  </si>
  <si>
    <t>HOS-00040</t>
  </si>
  <si>
    <t>HOS-00041</t>
  </si>
  <si>
    <t>HOS-00042</t>
  </si>
  <si>
    <t>HOS-00043</t>
  </si>
  <si>
    <t>HOS-00044</t>
  </si>
  <si>
    <t>HOS-00045</t>
  </si>
  <si>
    <t>HOS-00046</t>
  </si>
  <si>
    <t>HOS-00047</t>
  </si>
  <si>
    <t>HOS-00048</t>
  </si>
  <si>
    <t>HOS-00049</t>
  </si>
  <si>
    <t>HOS-00050</t>
  </si>
  <si>
    <t>HOS-00051</t>
  </si>
  <si>
    <t>HOS-00052</t>
  </si>
  <si>
    <t>HOS-00053</t>
  </si>
  <si>
    <t>HOS-00054</t>
  </si>
  <si>
    <t>HOS-00055</t>
  </si>
  <si>
    <t>HOS-00056</t>
  </si>
  <si>
    <t>HOS-00057</t>
  </si>
  <si>
    <t>HOS-00058</t>
  </si>
  <si>
    <t>HOS-00059</t>
  </si>
  <si>
    <t>HOS-00060</t>
  </si>
  <si>
    <t>HOS-00061</t>
  </si>
  <si>
    <t>HOS-00062</t>
  </si>
  <si>
    <t>HOS-00063</t>
  </si>
  <si>
    <t>HOS-00064</t>
  </si>
  <si>
    <t>HOS-00065</t>
  </si>
  <si>
    <t>HOS-00066</t>
  </si>
  <si>
    <t>HOS-00067</t>
  </si>
  <si>
    <t>HOS-00068</t>
  </si>
  <si>
    <t>HOS-00069</t>
  </si>
  <si>
    <t>HOS-00070</t>
  </si>
  <si>
    <t>HOS-00071</t>
  </si>
  <si>
    <t>HOS-00072</t>
  </si>
  <si>
    <t>HOS-00073</t>
  </si>
  <si>
    <t>HOS-00074</t>
  </si>
  <si>
    <t>HOS-00075</t>
  </si>
  <si>
    <t>HOS-00076</t>
  </si>
  <si>
    <t>HOS-00077</t>
  </si>
  <si>
    <t>HOS-00078</t>
  </si>
  <si>
    <t>HOS-00079</t>
  </si>
  <si>
    <t>HOS-00080</t>
  </si>
  <si>
    <t>HOS-00081</t>
  </si>
  <si>
    <t>HOS-00082</t>
  </si>
  <si>
    <t>HOS-00083</t>
  </si>
  <si>
    <t>HOS-00084</t>
  </si>
  <si>
    <t>HOS-00085</t>
  </si>
  <si>
    <t>HOS-00086</t>
  </si>
  <si>
    <t>HOS-00087</t>
  </si>
  <si>
    <t>HOS-00088</t>
  </si>
  <si>
    <t>HOS-00089</t>
  </si>
  <si>
    <t>HOS-00090</t>
  </si>
  <si>
    <t>HOS-00091</t>
  </si>
  <si>
    <t>HOS-00092</t>
  </si>
  <si>
    <t>HOS-00093</t>
  </si>
  <si>
    <t>HOS-00094</t>
  </si>
  <si>
    <t>HOS-00095</t>
  </si>
  <si>
    <t>HOS-00096</t>
  </si>
  <si>
    <t>HOS-00097</t>
  </si>
  <si>
    <t>HOS-00098</t>
  </si>
  <si>
    <t>HOS-00099</t>
  </si>
  <si>
    <t>HOS-00100</t>
  </si>
  <si>
    <t>HOS-00101</t>
  </si>
  <si>
    <t>HOS-00102</t>
  </si>
  <si>
    <t>HOS-00103</t>
  </si>
  <si>
    <t>HOS-00104</t>
  </si>
  <si>
    <t>HOS-00105</t>
  </si>
  <si>
    <t>HOS-00106</t>
  </si>
  <si>
    <t>HOS-00107</t>
  </si>
  <si>
    <t>HOS-00108</t>
  </si>
  <si>
    <t>HOS-00109</t>
  </si>
  <si>
    <t>HOS-00110</t>
  </si>
  <si>
    <t>HOS-00111</t>
  </si>
  <si>
    <t>HOS-00112</t>
  </si>
  <si>
    <t>HOS-00113</t>
  </si>
  <si>
    <t>HOS-00114</t>
  </si>
  <si>
    <t>HOS-00115</t>
  </si>
  <si>
    <t>HOS-00116</t>
  </si>
  <si>
    <t>HOS-00117</t>
  </si>
  <si>
    <t>HOS-00118</t>
  </si>
  <si>
    <t>HOS-00119</t>
  </si>
  <si>
    <t>HOS-00120</t>
  </si>
  <si>
    <t>HOS-00121</t>
  </si>
  <si>
    <t>HOS-00122</t>
  </si>
  <si>
    <t>HOS-00123</t>
  </si>
  <si>
    <t>HOS-00124</t>
  </si>
  <si>
    <t>HOS-00125</t>
  </si>
  <si>
    <t>HOS-00126</t>
  </si>
  <si>
    <t>HOS-00127</t>
  </si>
  <si>
    <t>HOS-00128</t>
  </si>
  <si>
    <t>HOS-00129</t>
  </si>
  <si>
    <t>HOS-00130</t>
  </si>
  <si>
    <t>HOS-00131</t>
  </si>
  <si>
    <t>HOS-00132</t>
  </si>
  <si>
    <t>HOS-00133</t>
  </si>
  <si>
    <t>HOS-00134</t>
  </si>
  <si>
    <t>HOS-00135</t>
  </si>
  <si>
    <t>HOS-00136</t>
  </si>
  <si>
    <t>HOS-00137</t>
  </si>
  <si>
    <t>HOS-00138</t>
  </si>
  <si>
    <t>HOS-00139</t>
  </si>
  <si>
    <t>HOS-00140</t>
  </si>
  <si>
    <t>HOS-00141</t>
  </si>
  <si>
    <t>HOS-00142</t>
  </si>
  <si>
    <t>HOS-00143</t>
  </si>
  <si>
    <t>HOS-00144</t>
  </si>
  <si>
    <t>HOS-00145</t>
  </si>
  <si>
    <t>HOS-00146</t>
  </si>
  <si>
    <t>HOS-00147</t>
  </si>
  <si>
    <t>HOS-00148</t>
  </si>
  <si>
    <t>HOS-00149</t>
  </si>
  <si>
    <t>HOS-00150</t>
  </si>
  <si>
    <t>HOS-00151</t>
  </si>
  <si>
    <t>HOS-00152</t>
  </si>
  <si>
    <t>HOS-00153</t>
  </si>
  <si>
    <t>HOS-00154</t>
  </si>
  <si>
    <t>HOS-00155</t>
  </si>
  <si>
    <t>HOS-00156</t>
  </si>
  <si>
    <t>HOS-00157</t>
  </si>
  <si>
    <t>HOS-00158</t>
  </si>
  <si>
    <t>HOS-00159</t>
  </si>
  <si>
    <t>HOS-00160</t>
  </si>
  <si>
    <t>HOS-00161</t>
  </si>
  <si>
    <t>HOS-00162</t>
  </si>
  <si>
    <t>HOS-00163</t>
  </si>
  <si>
    <t>HOS-00164</t>
  </si>
  <si>
    <t>HOS-00165</t>
  </si>
  <si>
    <t>HOS-00166</t>
  </si>
  <si>
    <t>HOS-00167</t>
  </si>
  <si>
    <t>HOS-00168</t>
  </si>
  <si>
    <t>HOS-00169</t>
  </si>
  <si>
    <t>HOS-00170</t>
  </si>
  <si>
    <t>HOS-00171</t>
  </si>
  <si>
    <t>HOS-00172</t>
  </si>
  <si>
    <t>HOS-00173</t>
  </si>
  <si>
    <t>HOS-00174</t>
  </si>
  <si>
    <t>HOS-00175</t>
  </si>
  <si>
    <t>HOS-00176</t>
  </si>
  <si>
    <t>HOS-00177</t>
  </si>
  <si>
    <t>HOS-00178</t>
  </si>
  <si>
    <t>HOS-00179</t>
  </si>
  <si>
    <t>HOS-00180</t>
  </si>
  <si>
    <t>HOS-00181</t>
  </si>
  <si>
    <t>HOS-00182</t>
  </si>
  <si>
    <t>HOS-00183</t>
  </si>
  <si>
    <t>HOS-00184</t>
  </si>
  <si>
    <t>HOS-00185</t>
  </si>
  <si>
    <t>HOS-00186</t>
  </si>
  <si>
    <t>HOS-00187</t>
  </si>
  <si>
    <t>HOS-00188</t>
  </si>
  <si>
    <t>HOS-00189</t>
  </si>
  <si>
    <t>HOS-00190</t>
  </si>
  <si>
    <t>HOS-00191</t>
  </si>
  <si>
    <t>HOS-00192</t>
  </si>
  <si>
    <t>HOS-00193</t>
  </si>
  <si>
    <t>HOS-00194</t>
  </si>
  <si>
    <t>HOS-00195</t>
  </si>
  <si>
    <t>HOS-00196</t>
  </si>
  <si>
    <t>HOS-00197</t>
  </si>
  <si>
    <t>HOS-00198</t>
  </si>
  <si>
    <t>HOS-00199</t>
  </si>
  <si>
    <t>HOS-00200</t>
  </si>
  <si>
    <t>HOS-00201</t>
  </si>
  <si>
    <t>HOS-00202</t>
  </si>
  <si>
    <t>HOS-00203</t>
  </si>
  <si>
    <t>HOS-00204</t>
  </si>
  <si>
    <t>HOS-00205</t>
  </si>
  <si>
    <t>HOS-00206</t>
  </si>
  <si>
    <t>HOS-00207</t>
  </si>
  <si>
    <t>HOS-00208</t>
  </si>
  <si>
    <t>HOS-00209</t>
  </si>
  <si>
    <t>HOS-00210</t>
  </si>
  <si>
    <t>HOS-00211</t>
  </si>
  <si>
    <t>HOS-00212</t>
  </si>
  <si>
    <t>HOS-00213</t>
  </si>
  <si>
    <t>HOS-00214</t>
  </si>
  <si>
    <t>HOS-00215</t>
  </si>
  <si>
    <t>HOS-00216</t>
  </si>
  <si>
    <t>HOS-00217</t>
  </si>
  <si>
    <t>HOS-00218</t>
  </si>
  <si>
    <t>HOS-00219</t>
  </si>
  <si>
    <t>HOS-00220</t>
  </si>
  <si>
    <t>HOS-00221</t>
  </si>
  <si>
    <t>HOS-00222</t>
  </si>
  <si>
    <t>HOS-00223</t>
  </si>
  <si>
    <t>HOS-00224</t>
  </si>
  <si>
    <t>HOS-00225</t>
  </si>
  <si>
    <t>HOS-00226</t>
  </si>
  <si>
    <t>HOS-00227</t>
  </si>
  <si>
    <t>HOS-00228</t>
  </si>
  <si>
    <t>HOS-00229</t>
  </si>
  <si>
    <t>HOS-00230</t>
  </si>
  <si>
    <t>HOS-00231</t>
  </si>
  <si>
    <t>HOS-00232</t>
  </si>
  <si>
    <t>HOS-00233</t>
  </si>
  <si>
    <t>HOS-00234</t>
  </si>
  <si>
    <t>HOS-00235</t>
  </si>
  <si>
    <t>HOS-00236</t>
  </si>
  <si>
    <t>HOS-00237</t>
  </si>
  <si>
    <t>HOS-00238</t>
  </si>
  <si>
    <t>HOS-00239</t>
  </si>
  <si>
    <t>HOS-00240</t>
  </si>
  <si>
    <t>HOS-00241</t>
  </si>
  <si>
    <t>HOS-00242</t>
  </si>
  <si>
    <t>HOS-00243</t>
  </si>
  <si>
    <t>HOS-00244</t>
  </si>
  <si>
    <t>HOS-00245</t>
  </si>
  <si>
    <t>HOS-00246</t>
  </si>
  <si>
    <t>HOS-00247</t>
  </si>
  <si>
    <t>HOS-00248</t>
  </si>
  <si>
    <t>HOS-00249</t>
  </si>
  <si>
    <t>HOS-00250</t>
  </si>
  <si>
    <t>HOS-00251</t>
  </si>
  <si>
    <t>HOS-00252</t>
  </si>
  <si>
    <t>HOS-00253</t>
  </si>
  <si>
    <t>HOS-00254</t>
  </si>
  <si>
    <t>HOS-00255</t>
  </si>
  <si>
    <t>HOS-00256</t>
  </si>
  <si>
    <t>HOS-00257</t>
  </si>
  <si>
    <t>HOS-00258</t>
  </si>
  <si>
    <t>HOS-00259</t>
  </si>
  <si>
    <t>HOS-00260</t>
  </si>
  <si>
    <t>HOS-00261</t>
  </si>
  <si>
    <t>HOS-00262</t>
  </si>
  <si>
    <t>HOS-00263</t>
  </si>
  <si>
    <t>HOS-00264</t>
  </si>
  <si>
    <t>HOS-00265</t>
  </si>
  <si>
    <t>HOS-00266</t>
  </si>
  <si>
    <t>HOS-00267</t>
  </si>
  <si>
    <t>HOS-00268</t>
  </si>
  <si>
    <t>HOS-00269</t>
  </si>
  <si>
    <t>HOS-00270</t>
  </si>
  <si>
    <t>HOS-00271</t>
  </si>
  <si>
    <t>HOS-00272</t>
  </si>
  <si>
    <t>HOS-00273</t>
  </si>
  <si>
    <t>HOS-00274</t>
  </si>
  <si>
    <t>HOS-00275</t>
  </si>
  <si>
    <t>HOS-00276</t>
  </si>
  <si>
    <t>HOS-00277</t>
  </si>
  <si>
    <t>HOS-00278</t>
  </si>
  <si>
    <t>HOS-00279</t>
  </si>
  <si>
    <t>HOS-00280</t>
  </si>
  <si>
    <t>HOS-00281</t>
  </si>
  <si>
    <t>HOS-00282</t>
  </si>
  <si>
    <t>HOS-00283</t>
  </si>
  <si>
    <t>HOS-00284</t>
  </si>
  <si>
    <t>HOS-00285</t>
  </si>
  <si>
    <t>HOS-00286</t>
  </si>
  <si>
    <t>HOS-00287</t>
  </si>
  <si>
    <t>HOS-00288</t>
  </si>
  <si>
    <t>HOS-00289</t>
  </si>
  <si>
    <t>HOS-00290</t>
  </si>
  <si>
    <t>HOS-00291</t>
  </si>
  <si>
    <t>HOS-00292</t>
  </si>
  <si>
    <t>HOS-00293</t>
  </si>
  <si>
    <t>HOS-00294</t>
  </si>
  <si>
    <t>HOS-00295</t>
  </si>
  <si>
    <t>HOS-00296</t>
  </si>
  <si>
    <t>HOS-00297</t>
  </si>
  <si>
    <t>HOS-00298</t>
  </si>
  <si>
    <t>HOS-00299</t>
  </si>
  <si>
    <t>HOS-00300</t>
  </si>
  <si>
    <t>HOS-00301</t>
  </si>
  <si>
    <t>HOS-00302</t>
  </si>
  <si>
    <t>HOS-00303</t>
  </si>
  <si>
    <t>HOS-00304</t>
  </si>
  <si>
    <t>HOS-00305</t>
  </si>
  <si>
    <t>HOS-00306</t>
  </si>
  <si>
    <t>HOS-00307</t>
  </si>
  <si>
    <t>HOS-00308</t>
  </si>
  <si>
    <t>HOS-00309</t>
  </si>
  <si>
    <t>HOS-00310</t>
  </si>
  <si>
    <t>HOS-00311</t>
  </si>
  <si>
    <t>HOS-00312</t>
  </si>
  <si>
    <t>HOS-00313</t>
  </si>
  <si>
    <t>HOS-00314</t>
  </si>
  <si>
    <t>HOS-00315</t>
  </si>
  <si>
    <t>HOS-00316</t>
  </si>
  <si>
    <t>HOS-00317</t>
  </si>
  <si>
    <t>HOS-00318</t>
  </si>
  <si>
    <t>HOS-00319</t>
  </si>
  <si>
    <t>HOS-00320</t>
  </si>
  <si>
    <t>HOS-00321</t>
  </si>
  <si>
    <t>HOS-00322</t>
  </si>
  <si>
    <t>HOS-00323</t>
  </si>
  <si>
    <t>HOS-00324</t>
  </si>
  <si>
    <t>HOS-00325</t>
  </si>
  <si>
    <t>HOS-00326</t>
  </si>
  <si>
    <t>HOS-00327</t>
  </si>
  <si>
    <t>HOS-00328</t>
  </si>
  <si>
    <t>HOS-00329</t>
  </si>
  <si>
    <t>HOS-00330</t>
  </si>
  <si>
    <t>HOS-00331</t>
  </si>
  <si>
    <t>HOS-00332</t>
  </si>
  <si>
    <t>HOS-00333</t>
  </si>
  <si>
    <t>HOS-00334</t>
  </si>
  <si>
    <t>HOS-00335</t>
  </si>
  <si>
    <t>HOS-00336</t>
  </si>
  <si>
    <t>HOS-00337</t>
  </si>
  <si>
    <t>HOS-00338</t>
  </si>
  <si>
    <t>HOS-00339</t>
  </si>
  <si>
    <t>HOS-00340</t>
  </si>
  <si>
    <t>HOS-00341</t>
  </si>
  <si>
    <t>HOS-00342</t>
  </si>
  <si>
    <t>HOS-00343</t>
  </si>
  <si>
    <t>HOS-00344</t>
  </si>
  <si>
    <t>HOS-00345</t>
  </si>
  <si>
    <t>HOS-00346</t>
  </si>
  <si>
    <t>HOS-00347</t>
  </si>
  <si>
    <t>HOS-00348</t>
  </si>
  <si>
    <t>HOS-00349</t>
  </si>
  <si>
    <t>HOS-00350</t>
  </si>
  <si>
    <t>HOS-00351</t>
  </si>
  <si>
    <t>HOS-00352</t>
  </si>
  <si>
    <t>HOS-00353</t>
  </si>
  <si>
    <t>HOS-00354</t>
  </si>
  <si>
    <t>HOS-00355</t>
  </si>
  <si>
    <t>HOS-00356</t>
  </si>
  <si>
    <t>HOS-00357</t>
  </si>
  <si>
    <t>HOS-00358</t>
  </si>
  <si>
    <t>HOS-00359</t>
  </si>
  <si>
    <t>HOS-00360</t>
  </si>
  <si>
    <t>HOS-00361</t>
  </si>
  <si>
    <t>HOS-00362</t>
  </si>
  <si>
    <t>HOS-00363</t>
  </si>
  <si>
    <t>HOS-00364</t>
  </si>
  <si>
    <t>HOS-00365</t>
  </si>
  <si>
    <t>HOS-00366</t>
  </si>
  <si>
    <t>HOS-00367</t>
  </si>
  <si>
    <t>HOS-00368</t>
  </si>
  <si>
    <t>HOS-00369</t>
  </si>
  <si>
    <t>HOS-00370</t>
  </si>
  <si>
    <t>HOS-00371</t>
  </si>
  <si>
    <t>HOS-00372</t>
  </si>
  <si>
    <t>HOS-00373</t>
  </si>
  <si>
    <t>HOS-00374</t>
  </si>
  <si>
    <t>HOS-00375</t>
  </si>
  <si>
    <t>HOS-00376</t>
  </si>
  <si>
    <t>HOS-00377</t>
  </si>
  <si>
    <t>HOS-00378</t>
  </si>
  <si>
    <t>HOS-00379</t>
  </si>
  <si>
    <t>HOS-00380</t>
  </si>
  <si>
    <t>HOS-00381</t>
  </si>
  <si>
    <t>HOS-00382</t>
  </si>
  <si>
    <t>HOS-00383</t>
  </si>
  <si>
    <t>HOS-00384</t>
  </si>
  <si>
    <t>HOS-00385</t>
  </si>
  <si>
    <t>HOS-00386</t>
  </si>
  <si>
    <t>HOS-00387</t>
  </si>
  <si>
    <t>HOS-00388</t>
  </si>
  <si>
    <t>HOS-00389</t>
  </si>
  <si>
    <t>HOS-00390</t>
  </si>
  <si>
    <t>HOS-00391</t>
  </si>
  <si>
    <t>HOS-00392</t>
  </si>
  <si>
    <t>HOS-00393</t>
  </si>
  <si>
    <t>HOS-00394</t>
  </si>
  <si>
    <t>HOS-00395</t>
  </si>
  <si>
    <t>HOS-00396</t>
  </si>
  <si>
    <t>HOS-00397</t>
  </si>
  <si>
    <t>HOS-00398</t>
  </si>
  <si>
    <t>HOS-00399</t>
  </si>
  <si>
    <t>HOS-00400</t>
  </si>
  <si>
    <t>HOS-00401</t>
  </si>
  <si>
    <t>HOS-00402</t>
  </si>
  <si>
    <t>HOS-00403</t>
  </si>
  <si>
    <t>HOS-00404</t>
  </si>
  <si>
    <t>HOS-00405</t>
  </si>
  <si>
    <t>HOS-00406</t>
  </si>
  <si>
    <t>HOS-00407</t>
  </si>
  <si>
    <t>HOS-00408</t>
  </si>
  <si>
    <t>HOS-00409</t>
  </si>
  <si>
    <t>HOS-00410</t>
  </si>
  <si>
    <t>HOS-00411</t>
  </si>
  <si>
    <t>HOS-00412</t>
  </si>
  <si>
    <t>HOS-00413</t>
  </si>
  <si>
    <t>HOS-00414</t>
  </si>
  <si>
    <t>HOS-00415</t>
  </si>
  <si>
    <t>HOS-00416</t>
  </si>
  <si>
    <t>HOS-00417</t>
  </si>
  <si>
    <t>HOS-00418</t>
  </si>
  <si>
    <t>HOS-00419</t>
  </si>
  <si>
    <t>HOS-00420</t>
  </si>
  <si>
    <t>HOS-00421</t>
  </si>
  <si>
    <t>HOS-00422</t>
  </si>
  <si>
    <t>HOS-00423</t>
  </si>
  <si>
    <t>HOS-00424</t>
  </si>
  <si>
    <t>HOS-00425</t>
  </si>
  <si>
    <t>HOS-00426</t>
  </si>
  <si>
    <t>HOS-00427</t>
  </si>
  <si>
    <t>HOS-00428</t>
  </si>
  <si>
    <t>HOS-00429</t>
  </si>
  <si>
    <t>HOS-00430</t>
  </si>
  <si>
    <t>HOS-00431</t>
  </si>
  <si>
    <t>HOS-00432</t>
  </si>
  <si>
    <t>HOS-00433</t>
  </si>
  <si>
    <t>HOS-00434</t>
  </si>
  <si>
    <t>HOS-00435</t>
  </si>
  <si>
    <t>HOS-00436</t>
  </si>
  <si>
    <t>HOS-00437</t>
  </si>
  <si>
    <t>HOS-00438</t>
  </si>
  <si>
    <t>HOS-00439</t>
  </si>
  <si>
    <t>HOS-00440</t>
  </si>
  <si>
    <t>HOS-00441</t>
  </si>
  <si>
    <t>HOS-00442</t>
  </si>
  <si>
    <t>HOS-00443</t>
  </si>
  <si>
    <t>HOS-00444</t>
  </si>
  <si>
    <t>HOS-00445</t>
  </si>
  <si>
    <t>HOS-00446</t>
  </si>
  <si>
    <t>HOS-00447</t>
  </si>
  <si>
    <t>HOS-00448</t>
  </si>
  <si>
    <t>HOS-00449</t>
  </si>
  <si>
    <t>HOS-00450</t>
  </si>
  <si>
    <t>HOS-00451</t>
  </si>
  <si>
    <t>HOS-00452</t>
  </si>
  <si>
    <t>HOS-00453</t>
  </si>
  <si>
    <t>HOS-00454</t>
  </si>
  <si>
    <t>HOS-00455</t>
  </si>
  <si>
    <t>HOS-00456</t>
  </si>
  <si>
    <t>HOS-00457</t>
  </si>
  <si>
    <t>HOS-00458</t>
  </si>
  <si>
    <t>HOS-00459</t>
  </si>
  <si>
    <t>HOS-00460</t>
  </si>
  <si>
    <t>HOS-00461</t>
  </si>
  <si>
    <t>HOS-00462</t>
  </si>
  <si>
    <t>HOS-00463</t>
  </si>
  <si>
    <t>HOS-00464</t>
  </si>
  <si>
    <t>HOS-00465</t>
  </si>
  <si>
    <t>HOS-00466</t>
  </si>
  <si>
    <t>HOS-00467</t>
  </si>
  <si>
    <t>HOS-00468</t>
  </si>
  <si>
    <t>HOS-00469</t>
  </si>
  <si>
    <t>HOS-00470</t>
  </si>
  <si>
    <t>HOS-00471</t>
  </si>
  <si>
    <t>HOS-00472</t>
  </si>
  <si>
    <t>HOS-00473</t>
  </si>
  <si>
    <t>HOS-00474</t>
  </si>
  <si>
    <t>HOS-00475</t>
  </si>
  <si>
    <t>HOS-00476</t>
  </si>
  <si>
    <t>HOS-00477</t>
  </si>
  <si>
    <t>HOS-00478</t>
  </si>
  <si>
    <t>HOS-00479</t>
  </si>
  <si>
    <t>HOS-00480</t>
  </si>
  <si>
    <t>HOS-00481</t>
  </si>
  <si>
    <t>HOS-00482</t>
  </si>
  <si>
    <t>HOS-00483</t>
  </si>
  <si>
    <t>HOS-00484</t>
  </si>
  <si>
    <t>HOS-00485</t>
  </si>
  <si>
    <t>HOS-00486</t>
  </si>
  <si>
    <t>HOS-00487</t>
  </si>
  <si>
    <t>HOS-00488</t>
  </si>
  <si>
    <t>HOS-00489</t>
  </si>
  <si>
    <t>HOS-00490</t>
  </si>
  <si>
    <t>HOS-00491</t>
  </si>
  <si>
    <t>HOS-00492</t>
  </si>
  <si>
    <t>HOS-00493</t>
  </si>
  <si>
    <t>HOS-00494</t>
  </si>
  <si>
    <t>HOS-00495</t>
  </si>
  <si>
    <t>HOS-00496</t>
  </si>
  <si>
    <t>HOS-00497</t>
  </si>
  <si>
    <t>HOS-00498</t>
  </si>
  <si>
    <t>HOS-00499</t>
  </si>
  <si>
    <t>HOS-00500</t>
  </si>
  <si>
    <t>Aarav Mehta</t>
  </si>
  <si>
    <t>Vijay Saxena</t>
  </si>
  <si>
    <t>Amit Nair</t>
  </si>
  <si>
    <t>Sunita Gupta</t>
  </si>
  <si>
    <t>Ananya Joshi</t>
  </si>
  <si>
    <t>Deepak Kumar</t>
  </si>
  <si>
    <t>Ayaan Patel</t>
  </si>
  <si>
    <t>Isha Mehta</t>
  </si>
  <si>
    <t>Vijay Deshmukh</t>
  </si>
  <si>
    <t>Divya Mehta</t>
  </si>
  <si>
    <t>Aadhya Mehta</t>
  </si>
  <si>
    <t>Deepak Nair</t>
  </si>
  <si>
    <t>Rajesh Singh</t>
  </si>
  <si>
    <t>Lakshmi Das</t>
  </si>
  <si>
    <t>Ayaan Reddy</t>
  </si>
  <si>
    <t>Meera Gupta</t>
  </si>
  <si>
    <t>Ayaan Verma</t>
  </si>
  <si>
    <t>Vivaan Tiwari</t>
  </si>
  <si>
    <t>Pooja Chatterjee</t>
  </si>
  <si>
    <t>Manoj Deshmukh</t>
  </si>
  <si>
    <t>Manoj Joshi</t>
  </si>
  <si>
    <t>Krishna Iyer</t>
  </si>
  <si>
    <t>Isha Das</t>
  </si>
  <si>
    <t>Priya Singh</t>
  </si>
  <si>
    <t>Divya Deshmukh</t>
  </si>
  <si>
    <t>Sunita Kapoor</t>
  </si>
  <si>
    <t>Vivaan Rao</t>
  </si>
  <si>
    <t>Ayaan Kumar</t>
  </si>
  <si>
    <t>Rahul Patel</t>
  </si>
  <si>
    <t>Krishna Das</t>
  </si>
  <si>
    <t>Riya Kapoor</t>
  </si>
  <si>
    <t>Kartik Kapoor</t>
  </si>
  <si>
    <t>Neha Tiwari</t>
  </si>
  <si>
    <t>Neha Verma</t>
  </si>
  <si>
    <t>Aditya Rao</t>
  </si>
  <si>
    <t>Geeta Reddy</t>
  </si>
  <si>
    <t>Amit Joshi</t>
  </si>
  <si>
    <t>Nisha Saxena</t>
  </si>
  <si>
    <t>Diya Mehta</t>
  </si>
  <si>
    <t>Reyansh Reddy</t>
  </si>
  <si>
    <t>Manoj Iyer</t>
  </si>
  <si>
    <t>Lakshmi Kumar</t>
  </si>
  <si>
    <t>Rajesh Patel</t>
  </si>
  <si>
    <t>Ayaan Singh</t>
  </si>
  <si>
    <t>Priya Pandey</t>
  </si>
  <si>
    <t>Vihaan Rao</t>
  </si>
  <si>
    <t>Anjali Gupta</t>
  </si>
  <si>
    <t>Nisha Kapoor</t>
  </si>
  <si>
    <t>Kavya Deshmukh</t>
  </si>
  <si>
    <t>Ayaan Kapoor</t>
  </si>
  <si>
    <t>Anjali Tiwari</t>
  </si>
  <si>
    <t>Rajesh Kumar</t>
  </si>
  <si>
    <t>Ishaan Joshi</t>
  </si>
  <si>
    <t>Ramesh Gupta</t>
  </si>
  <si>
    <t>Rahul Deshmukh</t>
  </si>
  <si>
    <t>Geeta Saxena</t>
  </si>
  <si>
    <t>Reyansh Verma</t>
  </si>
  <si>
    <t>Saanvi Joshi</t>
  </si>
  <si>
    <t>Krishna Singh</t>
  </si>
  <si>
    <t>Nisha Reddy</t>
  </si>
  <si>
    <t>Rekha Patel</t>
  </si>
  <si>
    <t>Riya Nair</t>
  </si>
  <si>
    <t>Ananya Nair</t>
  </si>
  <si>
    <t>Nisha Patel</t>
  </si>
  <si>
    <t>Sai Rao</t>
  </si>
  <si>
    <t>Krishna Kapoor</t>
  </si>
  <si>
    <t>Sneha Nair</t>
  </si>
  <si>
    <t>Anjali Iyer</t>
  </si>
  <si>
    <t>Aadhya Singh</t>
  </si>
  <si>
    <t>Riya Deshmukh</t>
  </si>
  <si>
    <t>Suresh Kumar</t>
  </si>
  <si>
    <t>Sai Kumar</t>
  </si>
  <si>
    <t>Deepak Deshmukh</t>
  </si>
  <si>
    <t>Ishaan Chatterjee</t>
  </si>
  <si>
    <t>Divya Mishra</t>
  </si>
  <si>
    <t>Rahul Tiwari</t>
  </si>
  <si>
    <t>Priya Joshi</t>
  </si>
  <si>
    <t>Amit Gupta</t>
  </si>
  <si>
    <t>Saanvi Iyer</t>
  </si>
  <si>
    <t>Manoj Verma</t>
  </si>
  <si>
    <t>Rajesh Mehta</t>
  </si>
  <si>
    <t>Saanvi Singh</t>
  </si>
  <si>
    <t>Deepak Patel</t>
  </si>
  <si>
    <t>Aditya Nair</t>
  </si>
  <si>
    <t>Divya Saxena</t>
  </si>
  <si>
    <t>Riya Chatterjee</t>
  </si>
  <si>
    <t>Ananya Reddy</t>
  </si>
  <si>
    <t>Sneha Kapoor</t>
  </si>
  <si>
    <t>Priya Mehta</t>
  </si>
  <si>
    <t>Riya Das</t>
  </si>
  <si>
    <t>Swati Chatterjee</t>
  </si>
  <si>
    <t>Aditya Mehta</t>
  </si>
  <si>
    <t>Divya Rao</t>
  </si>
  <si>
    <t>Riya Gupta</t>
  </si>
  <si>
    <t>Ananya Iyer</t>
  </si>
  <si>
    <t>Rahul Sharma</t>
  </si>
  <si>
    <t>Rahul Rao</t>
  </si>
  <si>
    <t>Isha Joshi</t>
  </si>
  <si>
    <t>Nisha Pandey</t>
  </si>
  <si>
    <t>Suresh Pandey</t>
  </si>
  <si>
    <t>Vijay Kumar</t>
  </si>
  <si>
    <t>Riya Saxena</t>
  </si>
  <si>
    <t>Kartik Rao</t>
  </si>
  <si>
    <t>Amit Mishra</t>
  </si>
  <si>
    <t>Priya Mishra</t>
  </si>
  <si>
    <t>Suresh Patel</t>
  </si>
  <si>
    <t>Meera Das</t>
  </si>
  <si>
    <t>Saanvi Deshmukh</t>
  </si>
  <si>
    <t>Amit Reddy</t>
  </si>
  <si>
    <t>Aarav Nair</t>
  </si>
  <si>
    <t>Aditya Sharma</t>
  </si>
  <si>
    <t>Ananya Gupta</t>
  </si>
  <si>
    <t>Vijay Das</t>
  </si>
  <si>
    <t>Aadhya Das</t>
  </si>
  <si>
    <t>Anjali Kumar</t>
  </si>
  <si>
    <t>Divya Iyer</t>
  </si>
  <si>
    <t>Ananya Kapoor</t>
  </si>
  <si>
    <t>Saanvi Das</t>
  </si>
  <si>
    <t>Arjun Saxena</t>
  </si>
  <si>
    <t>Sneha Chatterjee</t>
  </si>
  <si>
    <t>Ramesh Mishra</t>
  </si>
  <si>
    <t>Vihaan Singh</t>
  </si>
  <si>
    <t>Kavya Kumar</t>
  </si>
  <si>
    <t>Nisha Tiwari</t>
  </si>
  <si>
    <t>Ananya Chatterjee</t>
  </si>
  <si>
    <t>Vijay Singh</t>
  </si>
  <si>
    <t>Meera Tiwari</t>
  </si>
  <si>
    <t>Neha Deshmukh</t>
  </si>
  <si>
    <t>Rohan Nair</t>
  </si>
  <si>
    <t>Vihaan Patel</t>
  </si>
  <si>
    <t>Anjali Rao</t>
  </si>
  <si>
    <t>Kartik Tiwari</t>
  </si>
  <si>
    <t>Riya Tiwari</t>
  </si>
  <si>
    <t>Isha Saxena</t>
  </si>
  <si>
    <t>Rekha Rao</t>
  </si>
  <si>
    <t>Vivaan Pandey</t>
  </si>
  <si>
    <t>Isha Kapoor</t>
  </si>
  <si>
    <t>Riya Kumar</t>
  </si>
  <si>
    <t>Isha Rao</t>
  </si>
  <si>
    <t>Isha Gupta</t>
  </si>
  <si>
    <t>Aarav Tiwari</t>
  </si>
  <si>
    <t>Saanvi Sharma</t>
  </si>
  <si>
    <t>Pooja Verma</t>
  </si>
  <si>
    <t>Sai Saxena</t>
  </si>
  <si>
    <t>Vihaan Chatterjee</t>
  </si>
  <si>
    <t>Ramesh Singh</t>
  </si>
  <si>
    <t>Vijay Chatterjee</t>
  </si>
  <si>
    <t>Priya Verma</t>
  </si>
  <si>
    <t>Aadhya Iyer</t>
  </si>
  <si>
    <t>Ramesh Patel</t>
  </si>
  <si>
    <t>Lakshmi Reddy</t>
  </si>
  <si>
    <t>Aarav Rao</t>
  </si>
  <si>
    <t>Amit Saxena</t>
  </si>
  <si>
    <t>Diya Tiwari</t>
  </si>
  <si>
    <t>Diya Rao</t>
  </si>
  <si>
    <t>Lakshmi Mishra</t>
  </si>
  <si>
    <t>Ananya Tiwari</t>
  </si>
  <si>
    <t>Ramesh Verma</t>
  </si>
  <si>
    <t>Rahul Joshi</t>
  </si>
  <si>
    <t>Ramesh Nair</t>
  </si>
  <si>
    <t>Neha Singh</t>
  </si>
  <si>
    <t>Nisha Kumar</t>
  </si>
  <si>
    <t>Vivaan Sharma</t>
  </si>
  <si>
    <t>Anjali Sharma</t>
  </si>
  <si>
    <t>Kavya Gupta</t>
  </si>
  <si>
    <t>Aarav Kumar</t>
  </si>
  <si>
    <t>Pooja Patel</t>
  </si>
  <si>
    <t>Ananya Rao</t>
  </si>
  <si>
    <t>Nisha Deshmukh</t>
  </si>
  <si>
    <t>Aditya Reddy</t>
  </si>
  <si>
    <t>Lakshmi Sharma</t>
  </si>
  <si>
    <t>Anjali Singh</t>
  </si>
  <si>
    <t>Swati Saxena</t>
  </si>
  <si>
    <t>Rekha Joshi</t>
  </si>
  <si>
    <t>Suresh Verma</t>
  </si>
  <si>
    <t>Vihaan Joshi</t>
  </si>
  <si>
    <t>Vihaan Mehta</t>
  </si>
  <si>
    <t>Kartik Sharma</t>
  </si>
  <si>
    <t>Sneha Deshmukh</t>
  </si>
  <si>
    <t>Sai Joshi</t>
  </si>
  <si>
    <t>Amit Iyer</t>
  </si>
  <si>
    <t>Manoj Gupta</t>
  </si>
  <si>
    <t>Geeta Iyer</t>
  </si>
  <si>
    <t>Rohan Gupta</t>
  </si>
  <si>
    <t>Aditya Pandey</t>
  </si>
  <si>
    <t>Sunita Mishra</t>
  </si>
  <si>
    <t>Reyansh Pandey</t>
  </si>
  <si>
    <t>Geeta Tiwari</t>
  </si>
  <si>
    <t>Saanvi Mehta</t>
  </si>
  <si>
    <t>Swati Iyer</t>
  </si>
  <si>
    <t>Suresh Das</t>
  </si>
  <si>
    <t>Riya Patel</t>
  </si>
  <si>
    <t>Meera Singh</t>
  </si>
  <si>
    <t>Amit Singh</t>
  </si>
  <si>
    <t>Arjun Reddy</t>
  </si>
  <si>
    <t>Meera Reddy</t>
  </si>
  <si>
    <t>Aadhya Rao</t>
  </si>
  <si>
    <t>Ramesh Iyer</t>
  </si>
  <si>
    <t>Sneha Tiwari</t>
  </si>
  <si>
    <t>Divya Kapoor</t>
  </si>
  <si>
    <t>Arjun Tiwari</t>
  </si>
  <si>
    <t>Sai Deshmukh</t>
  </si>
  <si>
    <t>Rohan Kapoor</t>
  </si>
  <si>
    <t>Kartik Kumar</t>
  </si>
  <si>
    <t>Isha Kumar</t>
  </si>
  <si>
    <t>Rajesh Chatterjee</t>
  </si>
  <si>
    <t>Arjun Sharma</t>
  </si>
  <si>
    <t>Lakshmi Nair</t>
  </si>
  <si>
    <t>Geeta Patel</t>
  </si>
  <si>
    <t>Aarav Iyer</t>
  </si>
  <si>
    <t>Sneha Reddy</t>
  </si>
  <si>
    <t>Priya Patel</t>
  </si>
  <si>
    <t>Krishna Mehta</t>
  </si>
  <si>
    <t>Lakshmi Mehta</t>
  </si>
  <si>
    <t>Sai Gupta</t>
  </si>
  <si>
    <t>Sunita Rao</t>
  </si>
  <si>
    <t>Arjun Nair</t>
  </si>
  <si>
    <t>Lakshmi Pandey</t>
  </si>
  <si>
    <t>Diya Pandey</t>
  </si>
  <si>
    <t>Swati Kumar</t>
  </si>
  <si>
    <t>Ishaan Sharma</t>
  </si>
  <si>
    <t>Rohan Saxena</t>
  </si>
  <si>
    <t>Neha Rao</t>
  </si>
  <si>
    <t>Geeta Deshmukh</t>
  </si>
  <si>
    <t>Anjali Deshmukh</t>
  </si>
  <si>
    <t>Krishna Pandey</t>
  </si>
  <si>
    <t>Sunita Deshmukh</t>
  </si>
  <si>
    <t>Deepak Mehta</t>
  </si>
  <si>
    <t>Priya Kapoor</t>
  </si>
  <si>
    <t>Swati Mehta</t>
  </si>
  <si>
    <t>Divya Das</t>
  </si>
  <si>
    <t>Reyansh Patel</t>
  </si>
  <si>
    <t>Aarav Joshi</t>
  </si>
  <si>
    <t>Divya Sharma</t>
  </si>
  <si>
    <t>Sunita Saxena</t>
  </si>
  <si>
    <t>Lakshmi Iyer</t>
  </si>
  <si>
    <t>Manoj Pandey</t>
  </si>
  <si>
    <t>Swati Singh</t>
  </si>
  <si>
    <t>Manoj Mishra</t>
  </si>
  <si>
    <t>Aarav Patel</t>
  </si>
  <si>
    <t>Swati Gupta</t>
  </si>
  <si>
    <t>Meera Saxena</t>
  </si>
  <si>
    <t>Riya Joshi</t>
  </si>
  <si>
    <t>Krishna Joshi</t>
  </si>
  <si>
    <t>Priya Gupta</t>
  </si>
  <si>
    <t>Ramesh Deshmukh</t>
  </si>
  <si>
    <t>Rohan Mishra</t>
  </si>
  <si>
    <t>Lakshmi Joshi</t>
  </si>
  <si>
    <t>Swati Patel</t>
  </si>
  <si>
    <t>Suresh Chatterjee</t>
  </si>
  <si>
    <t>Manoj Kumar</t>
  </si>
  <si>
    <t>Sunita Verma</t>
  </si>
  <si>
    <t>Priya Das</t>
  </si>
  <si>
    <t>Rahul Singh</t>
  </si>
  <si>
    <t>Kartik Chatterjee</t>
  </si>
  <si>
    <t>Lakshmi Kapoor</t>
  </si>
  <si>
    <t>Rekha Tiwari</t>
  </si>
  <si>
    <t>Amit Mehta</t>
  </si>
  <si>
    <t>Deepak Rao</t>
  </si>
  <si>
    <t>Ananya Das</t>
  </si>
  <si>
    <t>Vihaan Das</t>
  </si>
  <si>
    <t>Aadhya Mishra</t>
  </si>
  <si>
    <t>Aditya Verma</t>
  </si>
  <si>
    <t>Aarav Chatterjee</t>
  </si>
  <si>
    <t>Kartik Mishra</t>
  </si>
  <si>
    <t>Ramesh Kumar</t>
  </si>
  <si>
    <t>Sunita Reddy</t>
  </si>
  <si>
    <t>Nisha Chatterjee</t>
  </si>
  <si>
    <t>Krishna Reddy</t>
  </si>
  <si>
    <t>Sneha Pandey</t>
  </si>
  <si>
    <t>Arjun Mishra</t>
  </si>
  <si>
    <t>Ananya Verma</t>
  </si>
  <si>
    <t>Pooja Tiwari</t>
  </si>
  <si>
    <t>Vihaan Verma</t>
  </si>
  <si>
    <t>Vivaan Das</t>
  </si>
  <si>
    <t>Krishna Kumar</t>
  </si>
  <si>
    <t>Nisha Iyer</t>
  </si>
  <si>
    <t>Ayaan Nair</t>
  </si>
  <si>
    <t>Krishna Verma</t>
  </si>
  <si>
    <t>Vivaan Mishra</t>
  </si>
  <si>
    <t>Riya Sharma</t>
  </si>
  <si>
    <t>Geeta Nair</t>
  </si>
  <si>
    <t>Reyansh Mehta</t>
  </si>
  <si>
    <t>Geeta Verma</t>
  </si>
  <si>
    <t>Nisha Singh</t>
  </si>
  <si>
    <t>Pooja Saxena</t>
  </si>
  <si>
    <t>Arjun Joshi</t>
  </si>
  <si>
    <t>Divya Reddy</t>
  </si>
  <si>
    <t>Manoj Saxena</t>
  </si>
  <si>
    <t>Neha Sharma</t>
  </si>
  <si>
    <t>Swati Verma</t>
  </si>
  <si>
    <t>Rajesh Sharma</t>
  </si>
  <si>
    <t>Kavya Verma</t>
  </si>
  <si>
    <t>Vijay Verma</t>
  </si>
  <si>
    <t>Reyansh Gupta</t>
  </si>
  <si>
    <t>Geeta Singh</t>
  </si>
  <si>
    <t>Arjun Deshmukh</t>
  </si>
  <si>
    <t>Ramesh Chatterjee</t>
  </si>
  <si>
    <t>Aditya Mishra</t>
  </si>
  <si>
    <t>Deepak Das</t>
  </si>
  <si>
    <t>Aarav Verma</t>
  </si>
  <si>
    <t>Rajesh Tiwari</t>
  </si>
  <si>
    <t>Rajesh Iyer</t>
  </si>
  <si>
    <t>Swati Kapoor</t>
  </si>
  <si>
    <t>Aadhya Patel</t>
  </si>
  <si>
    <t>Ayaan Mehta</t>
  </si>
  <si>
    <t>Deepak Sharma</t>
  </si>
  <si>
    <t>Rahul Chatterjee</t>
  </si>
  <si>
    <t>Pooja Reddy</t>
  </si>
  <si>
    <t>Rajesh Saxena</t>
  </si>
  <si>
    <t>Sneha Verma</t>
  </si>
  <si>
    <t>Reyansh Das</t>
  </si>
  <si>
    <t>Aditya Iyer</t>
  </si>
  <si>
    <t>Anjali Saxena</t>
  </si>
  <si>
    <t>Arjun Rao</t>
  </si>
  <si>
    <t>Rohan Singh</t>
  </si>
  <si>
    <t>Sai Sharma</t>
  </si>
  <si>
    <t>Sneha Kumar</t>
  </si>
  <si>
    <t>Riya Iyer</t>
  </si>
  <si>
    <t>Saanvi Tiwari</t>
  </si>
  <si>
    <t>Amit Rao</t>
  </si>
  <si>
    <t>Rahul Kapoor</t>
  </si>
  <si>
    <t>Vihaan Reddy</t>
  </si>
  <si>
    <t>Saanvi Kumar</t>
  </si>
  <si>
    <t>Neha Kumar</t>
  </si>
  <si>
    <t>Diya Verma</t>
  </si>
  <si>
    <t>Vivaan Kumar</t>
  </si>
  <si>
    <t>Amit Kumar</t>
  </si>
  <si>
    <t>Divya Verma</t>
  </si>
  <si>
    <t>Kavya Saxena</t>
  </si>
  <si>
    <t>Divya Tiwari</t>
  </si>
  <si>
    <t>Rekha Nair</t>
  </si>
  <si>
    <t>Sunita Kumar</t>
  </si>
  <si>
    <t>Divya Singh</t>
  </si>
  <si>
    <t>Aadhya Pandey</t>
  </si>
  <si>
    <t>Krishna Gupta</t>
  </si>
  <si>
    <t>Sneha Iyer</t>
  </si>
  <si>
    <t>Geeta Pandey</t>
  </si>
  <si>
    <t>Deepak Joshi</t>
  </si>
  <si>
    <t>Sunita Joshi</t>
  </si>
  <si>
    <t>Kavya Rao</t>
  </si>
  <si>
    <t>Reyansh Nair</t>
  </si>
  <si>
    <t>Geeta Kumar</t>
  </si>
  <si>
    <t>Swati Tiwari</t>
  </si>
  <si>
    <t>Nisha Mishra</t>
  </si>
  <si>
    <t>Geeta Sharma</t>
  </si>
  <si>
    <t>Anjali Mehta</t>
  </si>
  <si>
    <t>Vijay Nair</t>
  </si>
  <si>
    <t>Aditya Saxena</t>
  </si>
  <si>
    <t>Suresh Mehta</t>
  </si>
  <si>
    <t>Kavya Chatterjee</t>
  </si>
  <si>
    <t>Pooja Gupta</t>
  </si>
  <si>
    <t>Rahul Mehta</t>
  </si>
  <si>
    <t>Rajesh Joshi</t>
  </si>
  <si>
    <t>Aditya Das</t>
  </si>
  <si>
    <t>Sunita Singh</t>
  </si>
  <si>
    <t>Sai Patel</t>
  </si>
  <si>
    <t>Ananya Sharma</t>
  </si>
  <si>
    <t>Divya Chatterjee</t>
  </si>
  <si>
    <t>Krishna Patel</t>
  </si>
  <si>
    <t>Kavya Nair</t>
  </si>
  <si>
    <t>Meera Pandey</t>
  </si>
  <si>
    <t>Manoj Sharma</t>
  </si>
  <si>
    <t>Suresh Deshmukh</t>
  </si>
  <si>
    <t>Aarav Deshmukh</t>
  </si>
  <si>
    <t>Aadhya Reddy</t>
  </si>
  <si>
    <t>Rajesh Verma</t>
  </si>
  <si>
    <t>Sai Mehta</t>
  </si>
  <si>
    <t>Ramesh Das</t>
  </si>
  <si>
    <t>Swati Pandey</t>
  </si>
  <si>
    <t>Kavya Mehta</t>
  </si>
  <si>
    <t>Rohan Das</t>
  </si>
  <si>
    <t>Suresh Nair</t>
  </si>
  <si>
    <t>Manoj Chatterjee</t>
  </si>
  <si>
    <t>Ananya Mishra</t>
  </si>
  <si>
    <t>Male</t>
  </si>
  <si>
    <t>Female</t>
  </si>
  <si>
    <t>A+</t>
  </si>
  <si>
    <t>O+</t>
  </si>
  <si>
    <t>O-</t>
  </si>
  <si>
    <t>AB-</t>
  </si>
  <si>
    <t>B+</t>
  </si>
  <si>
    <t>A-</t>
  </si>
  <si>
    <t>AB+</t>
  </si>
  <si>
    <t>B-</t>
  </si>
  <si>
    <t>Pediatrics</t>
  </si>
  <si>
    <t>Cardiology</t>
  </si>
  <si>
    <t>General Medicine</t>
  </si>
  <si>
    <t>Gynecology</t>
  </si>
  <si>
    <t>Orthopedics</t>
  </si>
  <si>
    <t>Pulmonology</t>
  </si>
  <si>
    <t>Oncology</t>
  </si>
  <si>
    <t>Neurology</t>
  </si>
  <si>
    <t>Emergency</t>
  </si>
  <si>
    <t>Asthma</t>
  </si>
  <si>
    <t>Hypertension</t>
  </si>
  <si>
    <t>Diabetes</t>
  </si>
  <si>
    <t>Normal Delivery</t>
  </si>
  <si>
    <t>Spinal Injury</t>
  </si>
  <si>
    <t>Tuberculosis</t>
  </si>
  <si>
    <t>Liver Cancer</t>
  </si>
  <si>
    <t>Epilepsy</t>
  </si>
  <si>
    <t>Fracture</t>
  </si>
  <si>
    <t>COPD</t>
  </si>
  <si>
    <t>Road Accident</t>
  </si>
  <si>
    <t>Parkinson's</t>
  </si>
  <si>
    <t>Cardiac Arrest</t>
  </si>
  <si>
    <t>Heart Failure</t>
  </si>
  <si>
    <t>Jaundice</t>
  </si>
  <si>
    <t>Heart Attack</t>
  </si>
  <si>
    <t>Anemia</t>
  </si>
  <si>
    <t>Lung Infection</t>
  </si>
  <si>
    <t>Migraine</t>
  </si>
  <si>
    <t>Arthritis</t>
  </si>
  <si>
    <t>Typhoid</t>
  </si>
  <si>
    <t>Lung Cancer</t>
  </si>
  <si>
    <t>Burns</t>
  </si>
  <si>
    <t>Ligament Tear</t>
  </si>
  <si>
    <t>Ectopic Pregnancy</t>
  </si>
  <si>
    <t>Fall Injury</t>
  </si>
  <si>
    <t>Brain Tumor</t>
  </si>
  <si>
    <t>Fibroids</t>
  </si>
  <si>
    <t>Breast Cancer</t>
  </si>
  <si>
    <t>Joint Replacement</t>
  </si>
  <si>
    <t>PCOS</t>
  </si>
  <si>
    <t>Viral Fever</t>
  </si>
  <si>
    <t>Dengue Fever</t>
  </si>
  <si>
    <t>Pneumonia</t>
  </si>
  <si>
    <t>Angina</t>
  </si>
  <si>
    <t>Lymphoma</t>
  </si>
  <si>
    <t>C-Section</t>
  </si>
  <si>
    <t>Stroke</t>
  </si>
  <si>
    <t>Tonsillitis</t>
  </si>
  <si>
    <t>Arrhythmia</t>
  </si>
  <si>
    <t>Poisoning</t>
  </si>
  <si>
    <t>Gastritis</t>
  </si>
  <si>
    <t>Leukemia</t>
  </si>
  <si>
    <t>2025-11-23</t>
  </si>
  <si>
    <t>2025-12-19</t>
  </si>
  <si>
    <t>2024-04-14</t>
  </si>
  <si>
    <t>2025-10-05</t>
  </si>
  <si>
    <t>2025-10-12</t>
  </si>
  <si>
    <t>2025-01-23</t>
  </si>
  <si>
    <t>2025-08-03</t>
  </si>
  <si>
    <t>2024-09-26</t>
  </si>
  <si>
    <t>2025-10-04</t>
  </si>
  <si>
    <t>2025-11-29</t>
  </si>
  <si>
    <t>2025-10-02</t>
  </si>
  <si>
    <t>2024-11-10</t>
  </si>
  <si>
    <t>2025-06-24</t>
  </si>
  <si>
    <t>2024-09-10</t>
  </si>
  <si>
    <t>2024-10-12</t>
  </si>
  <si>
    <t>2025-02-24</t>
  </si>
  <si>
    <t>2025-03-08</t>
  </si>
  <si>
    <t>2025-05-12</t>
  </si>
  <si>
    <t>2024-07-13</t>
  </si>
  <si>
    <t>2025-06-04</t>
  </si>
  <si>
    <t>2025-08-20</t>
  </si>
  <si>
    <t>2024-03-15</t>
  </si>
  <si>
    <t>2024-06-10</t>
  </si>
  <si>
    <t>2024-10-05</t>
  </si>
  <si>
    <t>2024-10-10</t>
  </si>
  <si>
    <t>2025-12-08</t>
  </si>
  <si>
    <t>2024-09-12</t>
  </si>
  <si>
    <t>2024-12-06</t>
  </si>
  <si>
    <t>2024-12-24</t>
  </si>
  <si>
    <t>2024-01-29</t>
  </si>
  <si>
    <t>2024-09-17</t>
  </si>
  <si>
    <t>2025-11-10</t>
  </si>
  <si>
    <t>2024-11-25</t>
  </si>
  <si>
    <t>2024-08-28</t>
  </si>
  <si>
    <t>2025-05-21</t>
  </si>
  <si>
    <t>2024-06-11</t>
  </si>
  <si>
    <t>2025-04-22</t>
  </si>
  <si>
    <t>2025-02-03</t>
  </si>
  <si>
    <t>2025-08-29</t>
  </si>
  <si>
    <t>2025-10-29</t>
  </si>
  <si>
    <t>2025-12-17</t>
  </si>
  <si>
    <t>2025-01-19</t>
  </si>
  <si>
    <t>2025-06-29</t>
  </si>
  <si>
    <t>2025-04-15</t>
  </si>
  <si>
    <t>2024-10-13</t>
  </si>
  <si>
    <t>2025-10-23</t>
  </si>
  <si>
    <t>2024-12-26</t>
  </si>
  <si>
    <t>2025-06-30</t>
  </si>
  <si>
    <t>2025-03-27</t>
  </si>
  <si>
    <t>2024-06-04</t>
  </si>
  <si>
    <t>2025-03-29</t>
  </si>
  <si>
    <t>2024-06-26</t>
  </si>
  <si>
    <t>2025-12-04</t>
  </si>
  <si>
    <t>2025-09-01</t>
  </si>
  <si>
    <t>2024-09-13</t>
  </si>
  <si>
    <t>2024-10-11</t>
  </si>
  <si>
    <t>2025-12-11</t>
  </si>
  <si>
    <t>2025-06-10</t>
  </si>
  <si>
    <t>2024-10-21</t>
  </si>
  <si>
    <t>2024-04-05</t>
  </si>
  <si>
    <t>2025-04-12</t>
  </si>
  <si>
    <t>2024-10-16</t>
  </si>
  <si>
    <t>2024-05-09</t>
  </si>
  <si>
    <t>2024-09-28</t>
  </si>
  <si>
    <t>2024-02-27</t>
  </si>
  <si>
    <t>2025-05-24</t>
  </si>
  <si>
    <t>2025-08-24</t>
  </si>
  <si>
    <t>2025-08-11</t>
  </si>
  <si>
    <t>2025-10-13</t>
  </si>
  <si>
    <t>2024-04-02</t>
  </si>
  <si>
    <t>2024-10-29</t>
  </si>
  <si>
    <t>2025-07-03</t>
  </si>
  <si>
    <t>2025-10-25</t>
  </si>
  <si>
    <t>2025-07-04</t>
  </si>
  <si>
    <t>2024-02-03</t>
  </si>
  <si>
    <t>2024-04-03</t>
  </si>
  <si>
    <t>2024-08-26</t>
  </si>
  <si>
    <t>2024-05-14</t>
  </si>
  <si>
    <t>2024-03-06</t>
  </si>
  <si>
    <t>2024-03-03</t>
  </si>
  <si>
    <t>2025-10-10</t>
  </si>
  <si>
    <t>2025-11-01</t>
  </si>
  <si>
    <t>2024-11-16</t>
  </si>
  <si>
    <t>2025-01-16</t>
  </si>
  <si>
    <t>2024-04-16</t>
  </si>
  <si>
    <t>2024-01-27</t>
  </si>
  <si>
    <t>2025-02-14</t>
  </si>
  <si>
    <t>2024-11-28</t>
  </si>
  <si>
    <t>2025-02-28</t>
  </si>
  <si>
    <t>2024-02-26</t>
  </si>
  <si>
    <t>2024-05-12</t>
  </si>
  <si>
    <t>2024-03-20</t>
  </si>
  <si>
    <t>2025-12-07</t>
  </si>
  <si>
    <t>2024-03-19</t>
  </si>
  <si>
    <t>2024-06-03</t>
  </si>
  <si>
    <t>2024-10-20</t>
  </si>
  <si>
    <t>2025-05-28</t>
  </si>
  <si>
    <t>2025-03-25</t>
  </si>
  <si>
    <t>2025-07-25</t>
  </si>
  <si>
    <t>2024-03-27</t>
  </si>
  <si>
    <t>2024-08-07</t>
  </si>
  <si>
    <t>2025-09-24</t>
  </si>
  <si>
    <t>2024-08-31</t>
  </si>
  <si>
    <t>2025-05-29</t>
  </si>
  <si>
    <t>2025-06-12</t>
  </si>
  <si>
    <t>2024-02-09</t>
  </si>
  <si>
    <t>2025-03-09</t>
  </si>
  <si>
    <t>2025-06-03</t>
  </si>
  <si>
    <t>2025-08-18</t>
  </si>
  <si>
    <t>2025-04-13</t>
  </si>
  <si>
    <t>2025-10-24</t>
  </si>
  <si>
    <t>2024-07-10</t>
  </si>
  <si>
    <t>2024-03-22</t>
  </si>
  <si>
    <t>2024-02-28</t>
  </si>
  <si>
    <t>2024-08-29</t>
  </si>
  <si>
    <t>2025-01-10</t>
  </si>
  <si>
    <t>2024-09-23</t>
  </si>
  <si>
    <t>2024-03-30</t>
  </si>
  <si>
    <t>2024-07-24</t>
  </si>
  <si>
    <t>2025-02-11</t>
  </si>
  <si>
    <t>2025-07-18</t>
  </si>
  <si>
    <t>2025-12-27</t>
  </si>
  <si>
    <t>2025-08-13</t>
  </si>
  <si>
    <t>2025-06-11</t>
  </si>
  <si>
    <t>2024-06-12</t>
  </si>
  <si>
    <t>2025-06-01</t>
  </si>
  <si>
    <t>2024-09-27</t>
  </si>
  <si>
    <t>2025-04-06</t>
  </si>
  <si>
    <t>2025-02-15</t>
  </si>
  <si>
    <t>2024-06-15</t>
  </si>
  <si>
    <t>2025-11-20</t>
  </si>
  <si>
    <t>2025-11-28</t>
  </si>
  <si>
    <t>2024-03-04</t>
  </si>
  <si>
    <t>2025-07-27</t>
  </si>
  <si>
    <t>2025-03-28</t>
  </si>
  <si>
    <t>2024-08-19</t>
  </si>
  <si>
    <t>2025-05-02</t>
  </si>
  <si>
    <t>2024-06-29</t>
  </si>
  <si>
    <t>2024-10-18</t>
  </si>
  <si>
    <t>2024-03-29</t>
  </si>
  <si>
    <t>2024-11-05</t>
  </si>
  <si>
    <t>2025-12-21</t>
  </si>
  <si>
    <t>2025-04-09</t>
  </si>
  <si>
    <t>2024-02-16</t>
  </si>
  <si>
    <t>2025-10-18</t>
  </si>
  <si>
    <t>2024-05-01</t>
  </si>
  <si>
    <t>2024-08-23</t>
  </si>
  <si>
    <t>2025-08-31</t>
  </si>
  <si>
    <t>2024-10-23</t>
  </si>
  <si>
    <t>2024-10-08</t>
  </si>
  <si>
    <t>2025-01-20</t>
  </si>
  <si>
    <t>2024-05-17</t>
  </si>
  <si>
    <t>2025-08-06</t>
  </si>
  <si>
    <t>2025-05-15</t>
  </si>
  <si>
    <t>2024-03-10</t>
  </si>
  <si>
    <t>2024-01-18</t>
  </si>
  <si>
    <t>2024-07-15</t>
  </si>
  <si>
    <t>2025-10-31</t>
  </si>
  <si>
    <t>2025-08-02</t>
  </si>
  <si>
    <t>2024-07-02</t>
  </si>
  <si>
    <t>2025-02-02</t>
  </si>
  <si>
    <t>2024-03-18</t>
  </si>
  <si>
    <t>2025-03-18</t>
  </si>
  <si>
    <t>2025-07-24</t>
  </si>
  <si>
    <t>2025-07-26</t>
  </si>
  <si>
    <t>2025-03-07</t>
  </si>
  <si>
    <t>2024-11-07</t>
  </si>
  <si>
    <t>2025-12-12</t>
  </si>
  <si>
    <t>2025-02-06</t>
  </si>
  <si>
    <t>2025-07-01</t>
  </si>
  <si>
    <t>2025-07-30</t>
  </si>
  <si>
    <t>2024-03-28</t>
  </si>
  <si>
    <t>2024-11-22</t>
  </si>
  <si>
    <t>2024-12-04</t>
  </si>
  <si>
    <t>2025-03-15</t>
  </si>
  <si>
    <t>2024-07-20</t>
  </si>
  <si>
    <t>2025-01-17</t>
  </si>
  <si>
    <t>2025-05-16</t>
  </si>
  <si>
    <t>2025-10-30</t>
  </si>
  <si>
    <t>2024-08-18</t>
  </si>
  <si>
    <t>2025-07-10</t>
  </si>
  <si>
    <t>2025-09-22</t>
  </si>
  <si>
    <t>2025-08-09</t>
  </si>
  <si>
    <t>2024-04-01</t>
  </si>
  <si>
    <t>2025-03-26</t>
  </si>
  <si>
    <t>2024-12-25</t>
  </si>
  <si>
    <t>2024-07-12</t>
  </si>
  <si>
    <t>2025-10-27</t>
  </si>
  <si>
    <t>2025-09-15</t>
  </si>
  <si>
    <t>2024-09-22</t>
  </si>
  <si>
    <t>2025-12-30</t>
  </si>
  <si>
    <t>2025-06-05</t>
  </si>
  <si>
    <t>2025-03-05</t>
  </si>
  <si>
    <t>2024-02-17</t>
  </si>
  <si>
    <t>2024-12-20</t>
  </si>
  <si>
    <t>2024-03-02</t>
  </si>
  <si>
    <t>2024-03-17</t>
  </si>
  <si>
    <t>2024-07-26</t>
  </si>
  <si>
    <t>2025-04-07</t>
  </si>
  <si>
    <t>2025-12-29</t>
  </si>
  <si>
    <t>2025-04-18</t>
  </si>
  <si>
    <t>2024-07-21</t>
  </si>
  <si>
    <t>2025-02-08</t>
  </si>
  <si>
    <t>2024-01-20</t>
  </si>
  <si>
    <t>2024-01-31</t>
  </si>
  <si>
    <t>2025-12-18</t>
  </si>
  <si>
    <t>2025-08-23</t>
  </si>
  <si>
    <t>2024-05-19</t>
  </si>
  <si>
    <t>2024-10-28</t>
  </si>
  <si>
    <t>2025-07-13</t>
  </si>
  <si>
    <t>2024-06-23</t>
  </si>
  <si>
    <t>2025-09-13</t>
  </si>
  <si>
    <t>2025-08-08</t>
  </si>
  <si>
    <t>2025-01-14</t>
  </si>
  <si>
    <t>2025-02-10</t>
  </si>
  <si>
    <t>2024-04-12</t>
  </si>
  <si>
    <t>2025-04-29</t>
  </si>
  <si>
    <t>2024-10-02</t>
  </si>
  <si>
    <t>2025-03-02</t>
  </si>
  <si>
    <t>2025-01-04</t>
  </si>
  <si>
    <t>2025-04-30</t>
  </si>
  <si>
    <t>2025-09-07</t>
  </si>
  <si>
    <t>2025-11-07</t>
  </si>
  <si>
    <t>2025-04-27</t>
  </si>
  <si>
    <t>2025-03-06</t>
  </si>
  <si>
    <t>2024-05-02</t>
  </si>
  <si>
    <t>2024-03-23</t>
  </si>
  <si>
    <t>2024-03-31</t>
  </si>
  <si>
    <t>2025-06-27</t>
  </si>
  <si>
    <t>2024-06-20</t>
  </si>
  <si>
    <t>2024-06-17</t>
  </si>
  <si>
    <t>2024-02-08</t>
  </si>
  <si>
    <t>2024-05-06</t>
  </si>
  <si>
    <t>2025-03-04</t>
  </si>
  <si>
    <t>2025-01-01</t>
  </si>
  <si>
    <t>2024-04-23</t>
  </si>
  <si>
    <t>2024-02-21</t>
  </si>
  <si>
    <t>2025-01-29</t>
  </si>
  <si>
    <t>2025-08-05</t>
  </si>
  <si>
    <t>2024-03-05</t>
  </si>
  <si>
    <t>2025-11-08</t>
  </si>
  <si>
    <t>2025-09-10</t>
  </si>
  <si>
    <t>2025-09-26</t>
  </si>
  <si>
    <t>2024-08-08</t>
  </si>
  <si>
    <t>2025-09-12</t>
  </si>
  <si>
    <t>2024-05-21</t>
  </si>
  <si>
    <t>2025-11-21</t>
  </si>
  <si>
    <t>2024-06-13</t>
  </si>
  <si>
    <t>2024-09-14</t>
  </si>
  <si>
    <t>2024-06-30</t>
  </si>
  <si>
    <t>2025-08-21</t>
  </si>
  <si>
    <t>2025-12-25</t>
  </si>
  <si>
    <t>2024-12-05</t>
  </si>
  <si>
    <t>2024-02-14</t>
  </si>
  <si>
    <t>2024-07-01</t>
  </si>
  <si>
    <t>2025-07-12</t>
  </si>
  <si>
    <t>2025-07-14</t>
  </si>
  <si>
    <t>2024-04-27</t>
  </si>
  <si>
    <t>2024-06-28</t>
  </si>
  <si>
    <t>2024-10-24</t>
  </si>
  <si>
    <t>2025-01-13</t>
  </si>
  <si>
    <t>2025-06-17</t>
  </si>
  <si>
    <t>2024-08-16</t>
  </si>
  <si>
    <t>2025-05-05</t>
  </si>
  <si>
    <t>2024-09-21</t>
  </si>
  <si>
    <t>2024-05-15</t>
  </si>
  <si>
    <t>2024-08-22</t>
  </si>
  <si>
    <t>2024-10-17</t>
  </si>
  <si>
    <t>2024-10-09</t>
  </si>
  <si>
    <t>2025-08-14</t>
  </si>
  <si>
    <t>2024-10-19</t>
  </si>
  <si>
    <t>2024-12-21</t>
  </si>
  <si>
    <t>2024-01-10</t>
  </si>
  <si>
    <t>2025-08-10</t>
  </si>
  <si>
    <t>2024-06-08</t>
  </si>
  <si>
    <t>2024-11-29</t>
  </si>
  <si>
    <t>2025-01-25</t>
  </si>
  <si>
    <t>2025-05-13</t>
  </si>
  <si>
    <t>2025-01-06</t>
  </si>
  <si>
    <t>2025-07-07</t>
  </si>
  <si>
    <t>2025-10-17</t>
  </si>
  <si>
    <t>2024-01-08</t>
  </si>
  <si>
    <t>2025-06-13</t>
  </si>
  <si>
    <t>2025-03-24</t>
  </si>
  <si>
    <t>2024-09-11</t>
  </si>
  <si>
    <t>2025-07-08</t>
  </si>
  <si>
    <t>2025-11-05</t>
  </si>
  <si>
    <t>2024-04-08</t>
  </si>
  <si>
    <t>2025-11-04</t>
  </si>
  <si>
    <t>2024-04-13</t>
  </si>
  <si>
    <t>2024-05-18</t>
  </si>
  <si>
    <t>2024-04-06</t>
  </si>
  <si>
    <t>2024-02-12</t>
  </si>
  <si>
    <t>2025-12-15</t>
  </si>
  <si>
    <t>2024-09-29</t>
  </si>
  <si>
    <t>2024-11-08</t>
  </si>
  <si>
    <t>2024-09-05</t>
  </si>
  <si>
    <t>2024-10-26</t>
  </si>
  <si>
    <t>2025-05-27</t>
  </si>
  <si>
    <t>2025-12-01</t>
  </si>
  <si>
    <t>2024-12-03</t>
  </si>
  <si>
    <t>2025-11-02</t>
  </si>
  <si>
    <t>2024-11-06</t>
  </si>
  <si>
    <t>2024-08-24</t>
  </si>
  <si>
    <t>2024-06-16</t>
  </si>
  <si>
    <t>2025-12-05</t>
  </si>
  <si>
    <t>2025-08-27</t>
  </si>
  <si>
    <t>2025-09-29</t>
  </si>
  <si>
    <t>2024-05-28</t>
  </si>
  <si>
    <t>2025-07-17</t>
  </si>
  <si>
    <t>2025-09-30</t>
  </si>
  <si>
    <t>2024-08-05</t>
  </si>
  <si>
    <t>2024-12-15</t>
  </si>
  <si>
    <t>2025-04-16</t>
  </si>
  <si>
    <t>2024-11-11</t>
  </si>
  <si>
    <t>2024-04-24</t>
  </si>
  <si>
    <t>2024-11-13</t>
  </si>
  <si>
    <t>2024-11-14</t>
  </si>
  <si>
    <t>2024-07-16</t>
  </si>
  <si>
    <t>2024-07-30</t>
  </si>
  <si>
    <t>2024-12-12</t>
  </si>
  <si>
    <t>2025-12-22</t>
  </si>
  <si>
    <t>2025-04-11</t>
  </si>
  <si>
    <t>2024-04-19</t>
  </si>
  <si>
    <t>2024-03-08</t>
  </si>
  <si>
    <t>2025-12-02</t>
  </si>
  <si>
    <t>2024-05-30</t>
  </si>
  <si>
    <t>2024-12-18</t>
  </si>
  <si>
    <t>2024-04-22</t>
  </si>
  <si>
    <t>2025-05-01</t>
  </si>
  <si>
    <t>2025-01-28</t>
  </si>
  <si>
    <t>2024-09-08</t>
  </si>
  <si>
    <t>2025-06-08</t>
  </si>
  <si>
    <t>2025-07-31</t>
  </si>
  <si>
    <t>2024-09-24</t>
  </si>
  <si>
    <t>2025-02-12</t>
  </si>
  <si>
    <t>2025-04-04</t>
  </si>
  <si>
    <t>2024-04-10</t>
  </si>
  <si>
    <t>2024-01-09</t>
  </si>
  <si>
    <t>2024-03-16</t>
  </si>
  <si>
    <t>2025-05-08</t>
  </si>
  <si>
    <t>2024-05-23</t>
  </si>
  <si>
    <t>2025-08-28</t>
  </si>
  <si>
    <t>2025-08-30</t>
  </si>
  <si>
    <t>2025-12-09</t>
  </si>
  <si>
    <t>2025-06-26</t>
  </si>
  <si>
    <t>2024-02-23</t>
  </si>
  <si>
    <t>2024-02-25</t>
  </si>
  <si>
    <t>2024-02-02</t>
  </si>
  <si>
    <t>2025-10-15</t>
  </si>
  <si>
    <t>2025-03-14</t>
  </si>
  <si>
    <t>2025-05-31</t>
  </si>
  <si>
    <t>2025-12-10</t>
  </si>
  <si>
    <t>2025-04-10</t>
  </si>
  <si>
    <t>2024-10-30</t>
  </si>
  <si>
    <t>2024-02-22</t>
  </si>
  <si>
    <t>2025-10-26</t>
  </si>
  <si>
    <t>2024-07-28</t>
  </si>
  <si>
    <t>2024-01-22</t>
  </si>
  <si>
    <t>2025-12-14</t>
  </si>
  <si>
    <t>2024-02-18</t>
  </si>
  <si>
    <t>2024-11-20</t>
  </si>
  <si>
    <t>2024-02-11</t>
  </si>
  <si>
    <t>2025-09-09</t>
  </si>
  <si>
    <t>2025-11-24</t>
  </si>
  <si>
    <t>2026-01-03</t>
  </si>
  <si>
    <t>2025-10-07</t>
  </si>
  <si>
    <t>2025-01-24</t>
  </si>
  <si>
    <t>2025-08-04</t>
  </si>
  <si>
    <t>2025-10-03</t>
  </si>
  <si>
    <t>2024-11-17</t>
  </si>
  <si>
    <t>2025-02-25</t>
  </si>
  <si>
    <t>2024-10-06</t>
  </si>
  <si>
    <t>2024-12-10</t>
  </si>
  <si>
    <t>2024-01-30</t>
  </si>
  <si>
    <t>2025-11-11</t>
  </si>
  <si>
    <t>2024-10-07</t>
  </si>
  <si>
    <t>2025-04-23</t>
  </si>
  <si>
    <t>2025-02-04</t>
  </si>
  <si>
    <t>2025-11-22</t>
  </si>
  <si>
    <t>2025-04-17</t>
  </si>
  <si>
    <t>2024-10-15</t>
  </si>
  <si>
    <t>2024-10-14</t>
  </si>
  <si>
    <t>2025-01-02</t>
  </si>
  <si>
    <t>2025-07-22</t>
  </si>
  <si>
    <t>2025-03-31</t>
  </si>
  <si>
    <t>2024-06-21</t>
  </si>
  <si>
    <t>2025-03-30</t>
  </si>
  <si>
    <t>2024-06-27</t>
  </si>
  <si>
    <t>2025-09-03</t>
  </si>
  <si>
    <t>2024-09-15</t>
  </si>
  <si>
    <t>2025-12-23</t>
  </si>
  <si>
    <t>2024-10-22</t>
  </si>
  <si>
    <t>2024-11-01</t>
  </si>
  <si>
    <t>2024-11-26</t>
  </si>
  <si>
    <t>2024-05-22</t>
  </si>
  <si>
    <t>2025-10-28</t>
  </si>
  <si>
    <t>2025-07-05</t>
  </si>
  <si>
    <t>2024-02-04</t>
  </si>
  <si>
    <t>2024-04-04</t>
  </si>
  <si>
    <t>2024-05-16</t>
  </si>
  <si>
    <t>2024-03-09</t>
  </si>
  <si>
    <t>2025-02-21</t>
  </si>
  <si>
    <t>2025-03-01</t>
  </si>
  <si>
    <t>2024-05-13</t>
  </si>
  <si>
    <t>2024-03-21</t>
  </si>
  <si>
    <t>2025-08-01</t>
  </si>
  <si>
    <t>2025-09-25</t>
  </si>
  <si>
    <t>2024-09-01</t>
  </si>
  <si>
    <t>2025-06-28</t>
  </si>
  <si>
    <t>2025-03-03</t>
  </si>
  <si>
    <t>2025-08-12</t>
  </si>
  <si>
    <t>2025-06-18</t>
  </si>
  <si>
    <t>2024-07-11</t>
  </si>
  <si>
    <t>2024-02-29</t>
  </si>
  <si>
    <t>2024-08-30</t>
  </si>
  <si>
    <t>2025-01-21</t>
  </si>
  <si>
    <t>2024-07-31</t>
  </si>
  <si>
    <t>2025-07-19</t>
  </si>
  <si>
    <t>2025-12-28</t>
  </si>
  <si>
    <t>2025-05-30</t>
  </si>
  <si>
    <t>2025-06-02</t>
  </si>
  <si>
    <t>2025-04-19</t>
  </si>
  <si>
    <t>2025-02-17</t>
  </si>
  <si>
    <t>2024-06-18</t>
  </si>
  <si>
    <t>2025-07-28</t>
  </si>
  <si>
    <t>2024-08-20</t>
  </si>
  <si>
    <t>2025-10-22</t>
  </si>
  <si>
    <t>2025-01-22</t>
  </si>
  <si>
    <t>2025-08-07</t>
  </si>
  <si>
    <t>2025-05-25</t>
  </si>
  <si>
    <t>2024-03-11</t>
  </si>
  <si>
    <t>2024-01-23</t>
  </si>
  <si>
    <t>2024-07-18</t>
  </si>
  <si>
    <t>2024-07-04</t>
  </si>
  <si>
    <t>2025-03-12</t>
  </si>
  <si>
    <t>2024-11-09</t>
  </si>
  <si>
    <t>2025-12-13</t>
  </si>
  <si>
    <t>2025-02-07</t>
  </si>
  <si>
    <t>2024-12-01</t>
  </si>
  <si>
    <t>2024-07-27</t>
  </si>
  <si>
    <t>2025-10-01</t>
  </si>
  <si>
    <t>2025-01-18</t>
  </si>
  <si>
    <t>2025-05-17</t>
  </si>
  <si>
    <t>2025-07-11</t>
  </si>
  <si>
    <t>2025-03-23</t>
  </si>
  <si>
    <t>2025-04-20</t>
  </si>
  <si>
    <t>2025-01-03</t>
  </si>
  <si>
    <t>2025-09-16</t>
  </si>
  <si>
    <t>2024-09-25</t>
  </si>
  <si>
    <t>2025-12-31</t>
  </si>
  <si>
    <t>2025-06-19</t>
  </si>
  <si>
    <t>2024-08-01</t>
  </si>
  <si>
    <t>2025-04-08</t>
  </si>
  <si>
    <t>2026-01-01</t>
  </si>
  <si>
    <t>2024-07-22</t>
  </si>
  <si>
    <t>2024-01-28</t>
  </si>
  <si>
    <t>2024-08-27</t>
  </si>
  <si>
    <t>2024-06-24</t>
  </si>
  <si>
    <t>2024-04-17</t>
  </si>
  <si>
    <t>2024-10-03</t>
  </si>
  <si>
    <t>2026-01-06</t>
  </si>
  <si>
    <t>2025-01-08</t>
  </si>
  <si>
    <t>2025-05-11</t>
  </si>
  <si>
    <t>2024-03-12</t>
  </si>
  <si>
    <t>2025-11-15</t>
  </si>
  <si>
    <t>2024-07-23</t>
  </si>
  <si>
    <t>2025-03-13</t>
  </si>
  <si>
    <t>2024-03-26</t>
  </si>
  <si>
    <t>2024-07-09</t>
  </si>
  <si>
    <t>2024-02-10</t>
  </si>
  <si>
    <t>2025-01-30</t>
  </si>
  <si>
    <t>2025-11-09</t>
  </si>
  <si>
    <t>2024-03-25</t>
  </si>
  <si>
    <t>2025-09-11</t>
  </si>
  <si>
    <t>2026-01-02</t>
  </si>
  <si>
    <t>2024-08-09</t>
  </si>
  <si>
    <t>2025-12-06</t>
  </si>
  <si>
    <t>2025-08-22</t>
  </si>
  <si>
    <t>2025-11-30</t>
  </si>
  <si>
    <t>2024-02-15</t>
  </si>
  <si>
    <t>2024-08-02</t>
  </si>
  <si>
    <t>2025-09-21</t>
  </si>
  <si>
    <t>2025-07-15</t>
  </si>
  <si>
    <t>2024-04-28</t>
  </si>
  <si>
    <t>2026-01-05</t>
  </si>
  <si>
    <t>2024-07-08</t>
  </si>
  <si>
    <t>2024-11-02</t>
  </si>
  <si>
    <t>2025-06-21</t>
  </si>
  <si>
    <t>2025-05-09</t>
  </si>
  <si>
    <t>2025-08-15</t>
  </si>
  <si>
    <t>2025-09-17</t>
  </si>
  <si>
    <t>2024-12-23</t>
  </si>
  <si>
    <t>2024-01-11</t>
  </si>
  <si>
    <t>2025-01-26</t>
  </si>
  <si>
    <t>2025-05-18</t>
  </si>
  <si>
    <t>2024-12-02</t>
  </si>
  <si>
    <t>2024-06-05</t>
  </si>
  <si>
    <t>2025-06-25</t>
  </si>
  <si>
    <t>2024-07-14</t>
  </si>
  <si>
    <t>2025-11-06</t>
  </si>
  <si>
    <t>2025-01-05</t>
  </si>
  <si>
    <t>2024-04-21</t>
  </si>
  <si>
    <t>2024-05-24</t>
  </si>
  <si>
    <t>2024-04-07</t>
  </si>
  <si>
    <t>2024-11-15</t>
  </si>
  <si>
    <t>2025-12-16</t>
  </si>
  <si>
    <t>2024-10-01</t>
  </si>
  <si>
    <t>2024-09-07</t>
  </si>
  <si>
    <t>2025-07-09</t>
  </si>
  <si>
    <t>2024-12-16</t>
  </si>
  <si>
    <t>2024-08-25</t>
  </si>
  <si>
    <t>2024-06-22</t>
  </si>
  <si>
    <t>2024-05-31</t>
  </si>
  <si>
    <t>2024-05-05</t>
  </si>
  <si>
    <t>2024-04-26</t>
  </si>
  <si>
    <t>2024-11-19</t>
  </si>
  <si>
    <t>2024-07-17</t>
  </si>
  <si>
    <t>2024-02-01</t>
  </si>
  <si>
    <t>2024-12-19</t>
  </si>
  <si>
    <t>2025-05-03</t>
  </si>
  <si>
    <t>2025-01-31</t>
  </si>
  <si>
    <t>2026-01-20</t>
  </si>
  <si>
    <t>2024-09-04</t>
  </si>
  <si>
    <t>2024-04-11</t>
  </si>
  <si>
    <t>2024-01-13</t>
  </si>
  <si>
    <t>2025-09-27</t>
  </si>
  <si>
    <t>2025-05-14</t>
  </si>
  <si>
    <t>2024-10-27</t>
  </si>
  <si>
    <t>2024-05-29</t>
  </si>
  <si>
    <t>2025-09-05</t>
  </si>
  <si>
    <t>2025-09-20</t>
  </si>
  <si>
    <t>2024-03-01</t>
  </si>
  <si>
    <t>2024-02-05</t>
  </si>
  <si>
    <t>2025-12-20</t>
  </si>
  <si>
    <t>2024-02-20</t>
  </si>
  <si>
    <t>2024-11-21</t>
  </si>
  <si>
    <t>2025-06-06</t>
  </si>
  <si>
    <t>2025-08-26</t>
  </si>
  <si>
    <t>2024-12-17</t>
  </si>
  <si>
    <t>PED-024</t>
  </si>
  <si>
    <t>CAR-035</t>
  </si>
  <si>
    <t>GEN-006</t>
  </si>
  <si>
    <t>GYN-020</t>
  </si>
  <si>
    <t>ORT-024</t>
  </si>
  <si>
    <t>PUL-009</t>
  </si>
  <si>
    <t>ONC-029</t>
  </si>
  <si>
    <t>NEU-024</t>
  </si>
  <si>
    <t>ORT-011</t>
  </si>
  <si>
    <t>PUL-018</t>
  </si>
  <si>
    <t>PUL-010</t>
  </si>
  <si>
    <t>EME-016</t>
  </si>
  <si>
    <t>NEU-028</t>
  </si>
  <si>
    <t>EME-015</t>
  </si>
  <si>
    <t>CAR-032</t>
  </si>
  <si>
    <t>ORT-030</t>
  </si>
  <si>
    <t>PED-006</t>
  </si>
  <si>
    <t>CAR-031</t>
  </si>
  <si>
    <t>GEN-019</t>
  </si>
  <si>
    <t>PUL-003</t>
  </si>
  <si>
    <t>CAR-037</t>
  </si>
  <si>
    <t>NEU-001</t>
  </si>
  <si>
    <t>ORT-029</t>
  </si>
  <si>
    <t>GEN-003</t>
  </si>
  <si>
    <t>PUL-005</t>
  </si>
  <si>
    <t>ONC-022</t>
  </si>
  <si>
    <t>NEU-026</t>
  </si>
  <si>
    <t>EME-020</t>
  </si>
  <si>
    <t>PUL-004</t>
  </si>
  <si>
    <t>PUL-002</t>
  </si>
  <si>
    <t>ORT-008</t>
  </si>
  <si>
    <t>NEU-022</t>
  </si>
  <si>
    <t>GYN-015</t>
  </si>
  <si>
    <t>EME-026</t>
  </si>
  <si>
    <t>NEU-030</t>
  </si>
  <si>
    <t>PUL-016</t>
  </si>
  <si>
    <t>EME-022</t>
  </si>
  <si>
    <t>GYN-014</t>
  </si>
  <si>
    <t>EME-027</t>
  </si>
  <si>
    <t>EME-037</t>
  </si>
  <si>
    <t>ONC-009</t>
  </si>
  <si>
    <t>ONC-002</t>
  </si>
  <si>
    <t>EME-017</t>
  </si>
  <si>
    <t>CAR-026</t>
  </si>
  <si>
    <t>ORT-028</t>
  </si>
  <si>
    <t>GYN-023</t>
  </si>
  <si>
    <t>GEN-029</t>
  </si>
  <si>
    <t>PED-020</t>
  </si>
  <si>
    <t>EME-032</t>
  </si>
  <si>
    <t>PUL-015</t>
  </si>
  <si>
    <t>ONC-005</t>
  </si>
  <si>
    <t>CAR-022</t>
  </si>
  <si>
    <t>ORT-010</t>
  </si>
  <si>
    <t>PED-010</t>
  </si>
  <si>
    <t>GEN-036</t>
  </si>
  <si>
    <t>GEN-015</t>
  </si>
  <si>
    <t>ORT-019</t>
  </si>
  <si>
    <t>CAR-002</t>
  </si>
  <si>
    <t>NEU-006</t>
  </si>
  <si>
    <t>ORT-032</t>
  </si>
  <si>
    <t>GEN-001</t>
  </si>
  <si>
    <t>PED-015</t>
  </si>
  <si>
    <t>PUL-008</t>
  </si>
  <si>
    <t>GYN-018</t>
  </si>
  <si>
    <t>ONC-024</t>
  </si>
  <si>
    <t>PUL-007</t>
  </si>
  <si>
    <t>GYN-017</t>
  </si>
  <si>
    <t>GYN-011</t>
  </si>
  <si>
    <t>NEU-010</t>
  </si>
  <si>
    <t>GEN-013</t>
  </si>
  <si>
    <t>CAR-019</t>
  </si>
  <si>
    <t>GEN-048</t>
  </si>
  <si>
    <t>ONC-004</t>
  </si>
  <si>
    <t>EME-005</t>
  </si>
  <si>
    <t>EME-009</t>
  </si>
  <si>
    <t>EME-024</t>
  </si>
  <si>
    <t>GEN-043</t>
  </si>
  <si>
    <t>ORT-022</t>
  </si>
  <si>
    <t>GYN-016</t>
  </si>
  <si>
    <t>NEU-019</t>
  </si>
  <si>
    <t>GYN-021</t>
  </si>
  <si>
    <t>ORT-009</t>
  </si>
  <si>
    <t>CAR-005</t>
  </si>
  <si>
    <t>ONC-025</t>
  </si>
  <si>
    <t>EME-018</t>
  </si>
  <si>
    <t>CAR-001</t>
  </si>
  <si>
    <t>CAR-025</t>
  </si>
  <si>
    <t>CAR-021</t>
  </si>
  <si>
    <t>ONC-030</t>
  </si>
  <si>
    <t>ONC-017</t>
  </si>
  <si>
    <t>EME-029</t>
  </si>
  <si>
    <t>PED-005</t>
  </si>
  <si>
    <t>CAR-034</t>
  </si>
  <si>
    <t>GYN-010</t>
  </si>
  <si>
    <t>ONC-011</t>
  </si>
  <si>
    <t>EME-034</t>
  </si>
  <si>
    <t>ONC-028</t>
  </si>
  <si>
    <t>PED-002</t>
  </si>
  <si>
    <t>GEN-008</t>
  </si>
  <si>
    <t>ORT-002</t>
  </si>
  <si>
    <t>NEU-002</t>
  </si>
  <si>
    <t>NEU-011</t>
  </si>
  <si>
    <t>GYN-003</t>
  </si>
  <si>
    <t>ORT-026</t>
  </si>
  <si>
    <t>ORT-021</t>
  </si>
  <si>
    <t>ONC-026</t>
  </si>
  <si>
    <t>NEU-023</t>
  </si>
  <si>
    <t>EME-038</t>
  </si>
  <si>
    <t>GEN-042</t>
  </si>
  <si>
    <t>CAR-017</t>
  </si>
  <si>
    <t>PED-023</t>
  </si>
  <si>
    <t>ONC-018</t>
  </si>
  <si>
    <t>GEN-021</t>
  </si>
  <si>
    <t>EME-030</t>
  </si>
  <si>
    <t>CAR-024</t>
  </si>
  <si>
    <t>GEN-049</t>
  </si>
  <si>
    <t>PUL-013</t>
  </si>
  <si>
    <t>EME-008</t>
  </si>
  <si>
    <t>PED-021</t>
  </si>
  <si>
    <t>NEU-016</t>
  </si>
  <si>
    <t>GEN-030</t>
  </si>
  <si>
    <t>ORT-017</t>
  </si>
  <si>
    <t>GYN-013</t>
  </si>
  <si>
    <t>PED-019</t>
  </si>
  <si>
    <t>GEN-050</t>
  </si>
  <si>
    <t>EME-036</t>
  </si>
  <si>
    <t>GEN-028</t>
  </si>
  <si>
    <t>GEN-047</t>
  </si>
  <si>
    <t>PUL-006</t>
  </si>
  <si>
    <t>CAR-003</t>
  </si>
  <si>
    <t>PED-008</t>
  </si>
  <si>
    <t>ONC-006</t>
  </si>
  <si>
    <t>ORT-034</t>
  </si>
  <si>
    <t>ORT-007</t>
  </si>
  <si>
    <t>ORT-033</t>
  </si>
  <si>
    <t>GEN-016</t>
  </si>
  <si>
    <t>ORT-020</t>
  </si>
  <si>
    <t>PED-001</t>
  </si>
  <si>
    <t>NEU-007</t>
  </si>
  <si>
    <t>ONC-012</t>
  </si>
  <si>
    <t>EME-033</t>
  </si>
  <si>
    <t>ONC-021</t>
  </si>
  <si>
    <t>ORT-005</t>
  </si>
  <si>
    <t>ORT-012</t>
  </si>
  <si>
    <t>PED-016</t>
  </si>
  <si>
    <t>PED-012</t>
  </si>
  <si>
    <t>NEU-009</t>
  </si>
  <si>
    <t>NEU-027</t>
  </si>
  <si>
    <t>ORT-014</t>
  </si>
  <si>
    <t>GEN-024</t>
  </si>
  <si>
    <t>EME-007</t>
  </si>
  <si>
    <t>PUL-012</t>
  </si>
  <si>
    <t>ORT-001</t>
  </si>
  <si>
    <t>GYN-002</t>
  </si>
  <si>
    <t>GEN-037</t>
  </si>
  <si>
    <t>CAR-015</t>
  </si>
  <si>
    <t>CAR-040</t>
  </si>
  <si>
    <t>ORT-004</t>
  </si>
  <si>
    <t>EME-019</t>
  </si>
  <si>
    <t>PED-013</t>
  </si>
  <si>
    <t>NEU-029</t>
  </si>
  <si>
    <t>PED-025</t>
  </si>
  <si>
    <t>NEU-020</t>
  </si>
  <si>
    <t>NEU-005</t>
  </si>
  <si>
    <t>EME-028</t>
  </si>
  <si>
    <t>PED-018</t>
  </si>
  <si>
    <t>GEN-025</t>
  </si>
  <si>
    <t>CAR-023</t>
  </si>
  <si>
    <t>GEN-039</t>
  </si>
  <si>
    <t>CAR-033</t>
  </si>
  <si>
    <t>ONC-019</t>
  </si>
  <si>
    <t>GYN-025</t>
  </si>
  <si>
    <t>GEN-022</t>
  </si>
  <si>
    <t>PUL-011</t>
  </si>
  <si>
    <t>ORT-025</t>
  </si>
  <si>
    <t>PED-007</t>
  </si>
  <si>
    <t>NEU-013</t>
  </si>
  <si>
    <t>GYN-022</t>
  </si>
  <si>
    <t>PUL-020</t>
  </si>
  <si>
    <t>CAR-039</t>
  </si>
  <si>
    <t>ONC-014</t>
  </si>
  <si>
    <t>ONC-007</t>
  </si>
  <si>
    <t>PED-022</t>
  </si>
  <si>
    <t>EME-021</t>
  </si>
  <si>
    <t>ONC-010</t>
  </si>
  <si>
    <t>ONC-001</t>
  </si>
  <si>
    <t>ORT-006</t>
  </si>
  <si>
    <t>CAR-006</t>
  </si>
  <si>
    <t>CAR-028</t>
  </si>
  <si>
    <t>GYN-005</t>
  </si>
  <si>
    <t>PUL-019</t>
  </si>
  <si>
    <t>CAR-018</t>
  </si>
  <si>
    <t>CAR-012</t>
  </si>
  <si>
    <t>EME-013</t>
  </si>
  <si>
    <t>GYN-012</t>
  </si>
  <si>
    <t>ONC-023</t>
  </si>
  <si>
    <t>ORT-013</t>
  </si>
  <si>
    <t>PUL-017</t>
  </si>
  <si>
    <t>GYN-024</t>
  </si>
  <si>
    <t>GEN-007</t>
  </si>
  <si>
    <t>EME-035</t>
  </si>
  <si>
    <t>NEU-012</t>
  </si>
  <si>
    <t>ONC-003</t>
  </si>
  <si>
    <t>EME-003</t>
  </si>
  <si>
    <t>PED-009</t>
  </si>
  <si>
    <t>ORT-015</t>
  </si>
  <si>
    <t>ONC-013</t>
  </si>
  <si>
    <t>GEN-020</t>
  </si>
  <si>
    <t>PUL-014</t>
  </si>
  <si>
    <t>EME-014</t>
  </si>
  <si>
    <t>NEU-015</t>
  </si>
  <si>
    <t>CAR-029</t>
  </si>
  <si>
    <t>GEN-044</t>
  </si>
  <si>
    <t>GYN-007</t>
  </si>
  <si>
    <t>EME-039</t>
  </si>
  <si>
    <t>NEU-018</t>
  </si>
  <si>
    <t>NEU-003</t>
  </si>
  <si>
    <t>GYN-027</t>
  </si>
  <si>
    <t>EME-023</t>
  </si>
  <si>
    <t>ORT-031</t>
  </si>
  <si>
    <t>GEN-005</t>
  </si>
  <si>
    <t>GEN-017</t>
  </si>
  <si>
    <t>GYN-009</t>
  </si>
  <si>
    <t>CAR-008</t>
  </si>
  <si>
    <t>CAR-007</t>
  </si>
  <si>
    <t>ONC-008</t>
  </si>
  <si>
    <t>GEN-045</t>
  </si>
  <si>
    <t>ONC-015</t>
  </si>
  <si>
    <t>Dr. Kapoor</t>
  </si>
  <si>
    <t>Dr. Sharma</t>
  </si>
  <si>
    <t>Dr. Mishra</t>
  </si>
  <si>
    <t>Dr. Patil</t>
  </si>
  <si>
    <t>Dr. Singh</t>
  </si>
  <si>
    <t>Dr. Menon</t>
  </si>
  <si>
    <t>Dr. Bose</t>
  </si>
  <si>
    <t>Dr. Iyer</t>
  </si>
  <si>
    <t>Dr. Gupta</t>
  </si>
  <si>
    <t>Dr. Nambiar</t>
  </si>
  <si>
    <t>Dr. Tiwari</t>
  </si>
  <si>
    <t>Dr. Sinha</t>
  </si>
  <si>
    <t>Dr. Nair</t>
  </si>
  <si>
    <t>Dr. Saxena</t>
  </si>
  <si>
    <t>Dr. Mehta</t>
  </si>
  <si>
    <t>Dr. Kumar</t>
  </si>
  <si>
    <t>Dr. Rao</t>
  </si>
  <si>
    <t>Dr. Pandey</t>
  </si>
  <si>
    <t>Dr. Pillai</t>
  </si>
  <si>
    <t>Dr. Joshi</t>
  </si>
  <si>
    <t>Dr. Yadav</t>
  </si>
  <si>
    <t>Dr. Kulkarni</t>
  </si>
  <si>
    <t>Dr. Dey</t>
  </si>
  <si>
    <t>Dr. Reddy</t>
  </si>
  <si>
    <t>Dr. Das</t>
  </si>
  <si>
    <t>Dr. Patel</t>
  </si>
  <si>
    <t>Dr. Deshmukh</t>
  </si>
  <si>
    <t>Dr. Verma</t>
  </si>
  <si>
    <t>Dr. Chatterjee</t>
  </si>
  <si>
    <t>Yes</t>
  </si>
  <si>
    <t>No</t>
  </si>
  <si>
    <t>Referred</t>
  </si>
  <si>
    <t>Improved</t>
  </si>
  <si>
    <t>Recovered</t>
  </si>
  <si>
    <t>Unchanged</t>
  </si>
  <si>
    <t>Deceased</t>
  </si>
  <si>
    <t>Data Selection &amp; Manipulation: Click the drop-down arrows on row 4 to Filter &amp; Sort (like loc/sort_values). Column Q adds dynamic Formulas.</t>
  </si>
  <si>
    <t>Cost_USD (Formula)</t>
  </si>
  <si>
    <t>Head_Doctor</t>
  </si>
  <si>
    <t>Merging (VLOOKUP) &amp; Transformation (IF): Check Columns F &amp; H for live formulas equivalent to merge() and apply()</t>
  </si>
  <si>
    <t>Head_Doctor (VLOOKUP)</t>
  </si>
  <si>
    <t>Age Group (IF)</t>
  </si>
  <si>
    <t>Aggregation &amp; Visualization: We pre-aggregated Dept counts (groupby equivalent) and charted it natively in Excel.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</si>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</sst>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/>
    <xf numFmtId="0" fontId="2" fillId="0" borderId="1" xfId="0" applyFont="1" applyBorder="1" applyAlignment="1">
      <alignment horizontal="center" vertical="top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Patients by Department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Patient Count</c:v>
          </c:tx>
          <c:spPr>
            <a:solidFill>
              <a:srgbClr val="1ABC9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'6_9_Chart_Aggregate'!$B$6:$B$14</c:f>
              <c:strCache>
                <c:ptCount val="9"/>
                <c:pt idx="0">
                  <c:v>Gynecology</c:v>
                </c:pt>
                <c:pt idx="1">
                  <c:v>Neurology</c:v>
                </c:pt>
                <c:pt idx="2">
                  <c:v>Cardiology</c:v>
                </c:pt>
                <c:pt idx="3">
                  <c:v>Orthopedics</c:v>
                </c:pt>
                <c:pt idx="4">
                  <c:v>Oncology</c:v>
                </c:pt>
                <c:pt idx="5">
                  <c:v>Pulmonology</c:v>
                </c:pt>
                <c:pt idx="6">
                  <c:v>Emergency</c:v>
                </c:pt>
                <c:pt idx="7">
                  <c:v>Pediatrics</c:v>
                </c:pt>
                <c:pt idx="8">
                  <c:v>General Medicine</c:v>
                </c:pt>
              </c:strCache>
            </c:strRef>
          </c:cat>
          <c:val>
            <c:numRef>
              <c:f>'6_9_Chart_Aggregate'!$C$6:$C$14</c:f>
              <c:numCache>
                <c:formatCode>General</c:formatCode>
                <c:ptCount val="9"/>
                <c:pt idx="0">
                  <c:v>252</c:v>
                </c:pt>
                <c:pt idx="1">
                  <c:v>249</c:v>
                </c:pt>
                <c:pt idx="2">
                  <c:v>238</c:v>
                </c:pt>
                <c:pt idx="3">
                  <c:v>236</c:v>
                </c:pt>
                <c:pt idx="4">
                  <c:v>217</c:v>
                </c:pt>
                <c:pt idx="5">
                  <c:v>209</c:v>
                </c:pt>
                <c:pt idx="6">
                  <c:v>207</c:v>
                </c:pt>
                <c:pt idx="7">
                  <c:v>197</c:v>
                </c:pt>
                <c:pt idx="8">
                  <c:v>195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98269168"/>
        <c:axId val="-698273520"/>
      </c:barChart>
      <c:catAx>
        <c:axId val="-698269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698273520"/>
        <c:crosses val="autoZero"/>
        <c:auto val="1"/>
        <c:lblAlgn val="ctr"/>
        <c:lblOffset val="100"/>
        <c:noMultiLvlLbl val="0"/>
      </c:catAx>
      <c:valAx>
        <c:axId val="-69827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698269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4</xdr:row>
      <xdr:rowOff>95250</xdr:rowOff>
    </xdr:from>
    <xdr:to>
      <xdr:col>15</xdr:col>
      <xdr:colOff>390525</xdr:colOff>
      <xdr:row>26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4"/>
  <sheetViews>
    <sheetView tabSelected="1" topLeftCell="A223" workbookViewId="0">
      <selection sqref="A1:P2"/>
    </sheetView>
  </sheetViews>
  <sheetFormatPr defaultRowHeight="14.4" x14ac:dyDescent="0.3"/>
  <cols>
    <col min="1" max="17" width="15.6640625" customWidth="1"/>
  </cols>
  <sheetData>
    <row r="1" spans="1:17" x14ac:dyDescent="0.3">
      <c r="A1" s="3" t="s">
        <v>1757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7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1" t="s">
        <v>1758</v>
      </c>
    </row>
    <row r="5" spans="1:17" x14ac:dyDescent="0.3">
      <c r="A5" t="s">
        <v>16</v>
      </c>
      <c r="B5" t="s">
        <v>516</v>
      </c>
      <c r="C5">
        <v>3</v>
      </c>
      <c r="D5" t="s">
        <v>891</v>
      </c>
      <c r="E5" t="s">
        <v>893</v>
      </c>
      <c r="F5" t="s">
        <v>901</v>
      </c>
      <c r="G5" t="s">
        <v>910</v>
      </c>
      <c r="H5" t="s">
        <v>953</v>
      </c>
      <c r="I5" t="s">
        <v>1317</v>
      </c>
      <c r="J5">
        <v>1</v>
      </c>
      <c r="K5" t="s">
        <v>1493</v>
      </c>
      <c r="L5" t="s">
        <v>1721</v>
      </c>
      <c r="M5">
        <v>45646</v>
      </c>
      <c r="N5" t="s">
        <v>1750</v>
      </c>
      <c r="O5" t="s">
        <v>1752</v>
      </c>
      <c r="P5" t="s">
        <v>1750</v>
      </c>
      <c r="Q5">
        <f t="shared" ref="Q5:Q68" si="0">M5/83</f>
        <v>549.95180722891564</v>
      </c>
    </row>
    <row r="6" spans="1:17" x14ac:dyDescent="0.3">
      <c r="A6" t="s">
        <v>17</v>
      </c>
      <c r="B6" t="s">
        <v>517</v>
      </c>
      <c r="C6">
        <v>74</v>
      </c>
      <c r="D6" t="s">
        <v>891</v>
      </c>
      <c r="E6" t="s">
        <v>893</v>
      </c>
      <c r="F6" t="s">
        <v>902</v>
      </c>
      <c r="G6" t="s">
        <v>911</v>
      </c>
      <c r="H6" t="s">
        <v>954</v>
      </c>
      <c r="I6" t="s">
        <v>1318</v>
      </c>
      <c r="J6">
        <v>15</v>
      </c>
      <c r="K6" t="s">
        <v>1494</v>
      </c>
      <c r="L6" t="s">
        <v>1722</v>
      </c>
      <c r="M6">
        <v>479922</v>
      </c>
      <c r="N6" t="s">
        <v>1750</v>
      </c>
      <c r="O6" t="s">
        <v>1753</v>
      </c>
      <c r="P6" t="s">
        <v>1751</v>
      </c>
      <c r="Q6">
        <f t="shared" si="0"/>
        <v>5782.1927710843374</v>
      </c>
    </row>
    <row r="7" spans="1:17" x14ac:dyDescent="0.3">
      <c r="A7" t="s">
        <v>18</v>
      </c>
      <c r="B7" t="s">
        <v>518</v>
      </c>
      <c r="C7">
        <v>61</v>
      </c>
      <c r="D7" t="s">
        <v>891</v>
      </c>
      <c r="E7" t="s">
        <v>894</v>
      </c>
      <c r="F7" t="s">
        <v>903</v>
      </c>
      <c r="G7" t="s">
        <v>912</v>
      </c>
      <c r="H7" t="s">
        <v>955</v>
      </c>
      <c r="I7" t="s">
        <v>1276</v>
      </c>
      <c r="J7">
        <v>5</v>
      </c>
      <c r="K7" t="s">
        <v>1495</v>
      </c>
      <c r="L7" t="s">
        <v>1723</v>
      </c>
      <c r="M7">
        <v>80996</v>
      </c>
      <c r="N7" t="s">
        <v>1750</v>
      </c>
      <c r="O7" t="s">
        <v>1753</v>
      </c>
      <c r="P7" t="s">
        <v>1751</v>
      </c>
      <c r="Q7">
        <f t="shared" si="0"/>
        <v>975.85542168674704</v>
      </c>
    </row>
    <row r="8" spans="1:17" x14ac:dyDescent="0.3">
      <c r="A8" t="s">
        <v>19</v>
      </c>
      <c r="B8" t="s">
        <v>519</v>
      </c>
      <c r="C8">
        <v>27</v>
      </c>
      <c r="D8" t="s">
        <v>892</v>
      </c>
      <c r="E8" t="s">
        <v>893</v>
      </c>
      <c r="F8" t="s">
        <v>904</v>
      </c>
      <c r="G8" t="s">
        <v>913</v>
      </c>
      <c r="H8" t="s">
        <v>956</v>
      </c>
      <c r="I8" t="s">
        <v>1319</v>
      </c>
      <c r="J8">
        <v>2</v>
      </c>
      <c r="K8" t="s">
        <v>1496</v>
      </c>
      <c r="L8" t="s">
        <v>1724</v>
      </c>
      <c r="M8">
        <v>79866</v>
      </c>
      <c r="N8" t="s">
        <v>1750</v>
      </c>
      <c r="O8" t="s">
        <v>1754</v>
      </c>
      <c r="P8" t="s">
        <v>1750</v>
      </c>
      <c r="Q8">
        <f t="shared" si="0"/>
        <v>962.24096385542168</v>
      </c>
    </row>
    <row r="9" spans="1:17" x14ac:dyDescent="0.3">
      <c r="A9" t="s">
        <v>20</v>
      </c>
      <c r="B9" t="s">
        <v>520</v>
      </c>
      <c r="C9">
        <v>76</v>
      </c>
      <c r="D9" t="s">
        <v>892</v>
      </c>
      <c r="E9" t="s">
        <v>894</v>
      </c>
      <c r="F9" t="s">
        <v>905</v>
      </c>
      <c r="G9" t="s">
        <v>914</v>
      </c>
      <c r="H9" t="s">
        <v>957</v>
      </c>
      <c r="I9" t="s">
        <v>1021</v>
      </c>
      <c r="J9">
        <v>1</v>
      </c>
      <c r="K9" t="s">
        <v>1497</v>
      </c>
      <c r="L9" t="s">
        <v>1725</v>
      </c>
      <c r="M9">
        <v>11805</v>
      </c>
      <c r="N9" t="s">
        <v>1750</v>
      </c>
      <c r="O9" t="s">
        <v>1754</v>
      </c>
      <c r="P9" t="s">
        <v>1751</v>
      </c>
      <c r="Q9">
        <f t="shared" si="0"/>
        <v>142.22891566265059</v>
      </c>
    </row>
    <row r="10" spans="1:17" x14ac:dyDescent="0.3">
      <c r="A10" t="s">
        <v>21</v>
      </c>
      <c r="B10" t="s">
        <v>521</v>
      </c>
      <c r="C10">
        <v>77</v>
      </c>
      <c r="D10" t="s">
        <v>891</v>
      </c>
      <c r="E10" t="s">
        <v>894</v>
      </c>
      <c r="F10" t="s">
        <v>906</v>
      </c>
      <c r="G10" t="s">
        <v>915</v>
      </c>
      <c r="H10" t="s">
        <v>958</v>
      </c>
      <c r="I10" t="s">
        <v>1320</v>
      </c>
      <c r="J10">
        <v>1</v>
      </c>
      <c r="K10" t="s">
        <v>1498</v>
      </c>
      <c r="L10" t="s">
        <v>1726</v>
      </c>
      <c r="M10">
        <v>39554</v>
      </c>
      <c r="N10" t="s">
        <v>1751</v>
      </c>
      <c r="O10" t="s">
        <v>1754</v>
      </c>
      <c r="P10" t="s">
        <v>1751</v>
      </c>
      <c r="Q10">
        <f t="shared" si="0"/>
        <v>476.5542168674699</v>
      </c>
    </row>
    <row r="11" spans="1:17" x14ac:dyDescent="0.3">
      <c r="A11" t="s">
        <v>22</v>
      </c>
      <c r="B11" t="s">
        <v>522</v>
      </c>
      <c r="C11">
        <v>38</v>
      </c>
      <c r="D11" t="s">
        <v>891</v>
      </c>
      <c r="E11" t="s">
        <v>895</v>
      </c>
      <c r="F11" t="s">
        <v>907</v>
      </c>
      <c r="G11" t="s">
        <v>916</v>
      </c>
      <c r="H11" t="s">
        <v>959</v>
      </c>
      <c r="I11" t="s">
        <v>1321</v>
      </c>
      <c r="J11">
        <v>1</v>
      </c>
      <c r="K11" t="s">
        <v>1499</v>
      </c>
      <c r="L11" t="s">
        <v>1727</v>
      </c>
      <c r="M11">
        <v>45639</v>
      </c>
      <c r="N11" t="s">
        <v>1750</v>
      </c>
      <c r="O11" t="s">
        <v>1755</v>
      </c>
      <c r="P11" t="s">
        <v>1751</v>
      </c>
      <c r="Q11">
        <f t="shared" si="0"/>
        <v>549.86746987951813</v>
      </c>
    </row>
    <row r="12" spans="1:17" x14ac:dyDescent="0.3">
      <c r="A12" t="s">
        <v>23</v>
      </c>
      <c r="B12" t="s">
        <v>523</v>
      </c>
      <c r="C12">
        <v>67</v>
      </c>
      <c r="D12" t="s">
        <v>892</v>
      </c>
      <c r="E12" t="s">
        <v>896</v>
      </c>
      <c r="F12" t="s">
        <v>908</v>
      </c>
      <c r="G12" t="s">
        <v>917</v>
      </c>
      <c r="H12" t="s">
        <v>960</v>
      </c>
      <c r="I12" t="s">
        <v>1102</v>
      </c>
      <c r="J12">
        <v>12</v>
      </c>
      <c r="K12" t="s">
        <v>1500</v>
      </c>
      <c r="L12" t="s">
        <v>1728</v>
      </c>
      <c r="M12">
        <v>569244</v>
      </c>
      <c r="N12" t="s">
        <v>1751</v>
      </c>
      <c r="O12" t="s">
        <v>1752</v>
      </c>
      <c r="P12" t="s">
        <v>1751</v>
      </c>
      <c r="Q12">
        <f t="shared" si="0"/>
        <v>6858.3614457831327</v>
      </c>
    </row>
    <row r="13" spans="1:17" x14ac:dyDescent="0.3">
      <c r="A13" t="s">
        <v>24</v>
      </c>
      <c r="B13" t="s">
        <v>524</v>
      </c>
      <c r="C13">
        <v>37</v>
      </c>
      <c r="D13" t="s">
        <v>891</v>
      </c>
      <c r="E13" t="s">
        <v>897</v>
      </c>
      <c r="F13" t="s">
        <v>905</v>
      </c>
      <c r="G13" t="s">
        <v>918</v>
      </c>
      <c r="H13" t="s">
        <v>961</v>
      </c>
      <c r="I13" t="s">
        <v>1033</v>
      </c>
      <c r="J13">
        <v>6</v>
      </c>
      <c r="K13" t="s">
        <v>1501</v>
      </c>
      <c r="L13" t="s">
        <v>1729</v>
      </c>
      <c r="M13">
        <v>212261</v>
      </c>
      <c r="N13" t="s">
        <v>1751</v>
      </c>
      <c r="O13" t="s">
        <v>1754</v>
      </c>
      <c r="P13" t="s">
        <v>1751</v>
      </c>
      <c r="Q13">
        <f t="shared" si="0"/>
        <v>2557.3614457831327</v>
      </c>
    </row>
    <row r="14" spans="1:17" x14ac:dyDescent="0.3">
      <c r="A14" t="s">
        <v>25</v>
      </c>
      <c r="B14" t="s">
        <v>525</v>
      </c>
      <c r="C14">
        <v>32</v>
      </c>
      <c r="D14" t="s">
        <v>892</v>
      </c>
      <c r="E14" t="s">
        <v>897</v>
      </c>
      <c r="F14" t="s">
        <v>906</v>
      </c>
      <c r="G14" t="s">
        <v>919</v>
      </c>
      <c r="H14" t="s">
        <v>962</v>
      </c>
      <c r="I14" t="s">
        <v>1258</v>
      </c>
      <c r="J14">
        <v>6</v>
      </c>
      <c r="K14" t="s">
        <v>1502</v>
      </c>
      <c r="L14" t="s">
        <v>1730</v>
      </c>
      <c r="M14">
        <v>119935</v>
      </c>
      <c r="N14" t="s">
        <v>1751</v>
      </c>
      <c r="O14" t="s">
        <v>1753</v>
      </c>
      <c r="P14" t="s">
        <v>1750</v>
      </c>
      <c r="Q14">
        <f t="shared" si="0"/>
        <v>1445</v>
      </c>
    </row>
    <row r="15" spans="1:17" x14ac:dyDescent="0.3">
      <c r="A15" t="s">
        <v>26</v>
      </c>
      <c r="B15" t="s">
        <v>526</v>
      </c>
      <c r="C15">
        <v>31</v>
      </c>
      <c r="D15" t="s">
        <v>892</v>
      </c>
      <c r="E15" t="s">
        <v>894</v>
      </c>
      <c r="F15" t="s">
        <v>906</v>
      </c>
      <c r="G15" t="s">
        <v>915</v>
      </c>
      <c r="H15" t="s">
        <v>963</v>
      </c>
      <c r="I15" t="s">
        <v>1322</v>
      </c>
      <c r="J15">
        <v>1</v>
      </c>
      <c r="K15" t="s">
        <v>1503</v>
      </c>
      <c r="L15" t="s">
        <v>1730</v>
      </c>
      <c r="M15">
        <v>39499</v>
      </c>
      <c r="N15" t="s">
        <v>1750</v>
      </c>
      <c r="O15" t="s">
        <v>1754</v>
      </c>
      <c r="P15" t="s">
        <v>1751</v>
      </c>
      <c r="Q15">
        <f t="shared" si="0"/>
        <v>475.89156626506025</v>
      </c>
    </row>
    <row r="16" spans="1:17" x14ac:dyDescent="0.3">
      <c r="A16" t="s">
        <v>27</v>
      </c>
      <c r="B16" t="s">
        <v>527</v>
      </c>
      <c r="C16">
        <v>64</v>
      </c>
      <c r="D16" t="s">
        <v>891</v>
      </c>
      <c r="E16" t="s">
        <v>897</v>
      </c>
      <c r="F16" t="s">
        <v>909</v>
      </c>
      <c r="G16" t="s">
        <v>920</v>
      </c>
      <c r="H16" t="s">
        <v>964</v>
      </c>
      <c r="I16" t="s">
        <v>1323</v>
      </c>
      <c r="J16">
        <v>7</v>
      </c>
      <c r="K16" t="s">
        <v>1504</v>
      </c>
      <c r="L16" t="s">
        <v>1731</v>
      </c>
      <c r="M16">
        <v>61572</v>
      </c>
      <c r="N16" t="s">
        <v>1750</v>
      </c>
      <c r="O16" t="s">
        <v>1754</v>
      </c>
      <c r="P16" t="s">
        <v>1751</v>
      </c>
      <c r="Q16">
        <f t="shared" si="0"/>
        <v>741.83132530120486</v>
      </c>
    </row>
    <row r="17" spans="1:17" x14ac:dyDescent="0.3">
      <c r="A17" t="s">
        <v>28</v>
      </c>
      <c r="B17" t="s">
        <v>528</v>
      </c>
      <c r="C17">
        <v>45</v>
      </c>
      <c r="D17" t="s">
        <v>891</v>
      </c>
      <c r="E17" t="s">
        <v>894</v>
      </c>
      <c r="F17" t="s">
        <v>908</v>
      </c>
      <c r="G17" t="s">
        <v>921</v>
      </c>
      <c r="H17" t="s">
        <v>965</v>
      </c>
      <c r="I17" t="s">
        <v>1026</v>
      </c>
      <c r="J17">
        <v>10</v>
      </c>
      <c r="K17" t="s">
        <v>1505</v>
      </c>
      <c r="L17" t="s">
        <v>1728</v>
      </c>
      <c r="M17">
        <v>469743</v>
      </c>
      <c r="N17" t="s">
        <v>1751</v>
      </c>
      <c r="O17" t="s">
        <v>1756</v>
      </c>
      <c r="P17" t="s">
        <v>1751</v>
      </c>
      <c r="Q17">
        <f t="shared" si="0"/>
        <v>5659.5542168674701</v>
      </c>
    </row>
    <row r="18" spans="1:17" x14ac:dyDescent="0.3">
      <c r="A18" t="s">
        <v>29</v>
      </c>
      <c r="B18" t="s">
        <v>529</v>
      </c>
      <c r="C18">
        <v>33</v>
      </c>
      <c r="D18" t="s">
        <v>892</v>
      </c>
      <c r="E18" t="s">
        <v>893</v>
      </c>
      <c r="F18" t="s">
        <v>909</v>
      </c>
      <c r="G18" t="s">
        <v>922</v>
      </c>
      <c r="H18" t="s">
        <v>966</v>
      </c>
      <c r="I18" t="s">
        <v>1237</v>
      </c>
      <c r="J18">
        <v>1</v>
      </c>
      <c r="K18" t="s">
        <v>1506</v>
      </c>
      <c r="L18" t="s">
        <v>1732</v>
      </c>
      <c r="M18">
        <v>9196</v>
      </c>
      <c r="N18" t="s">
        <v>1750</v>
      </c>
      <c r="O18" t="s">
        <v>1754</v>
      </c>
      <c r="P18" t="s">
        <v>1751</v>
      </c>
      <c r="Q18">
        <f t="shared" si="0"/>
        <v>110.79518072289157</v>
      </c>
    </row>
    <row r="19" spans="1:17" x14ac:dyDescent="0.3">
      <c r="A19" t="s">
        <v>30</v>
      </c>
      <c r="B19" t="s">
        <v>530</v>
      </c>
      <c r="C19">
        <v>65</v>
      </c>
      <c r="D19" t="s">
        <v>891</v>
      </c>
      <c r="E19" t="s">
        <v>897</v>
      </c>
      <c r="F19" t="s">
        <v>902</v>
      </c>
      <c r="G19" t="s">
        <v>923</v>
      </c>
      <c r="H19" t="s">
        <v>967</v>
      </c>
      <c r="I19" t="s">
        <v>997</v>
      </c>
      <c r="J19">
        <v>1</v>
      </c>
      <c r="K19" t="s">
        <v>1507</v>
      </c>
      <c r="L19" t="s">
        <v>1722</v>
      </c>
      <c r="M19">
        <v>21232</v>
      </c>
      <c r="N19" t="s">
        <v>1750</v>
      </c>
      <c r="O19" t="s">
        <v>1755</v>
      </c>
      <c r="P19" t="s">
        <v>1750</v>
      </c>
      <c r="Q19">
        <f t="shared" si="0"/>
        <v>255.80722891566265</v>
      </c>
    </row>
    <row r="20" spans="1:17" x14ac:dyDescent="0.3">
      <c r="A20" t="s">
        <v>31</v>
      </c>
      <c r="B20" t="s">
        <v>531</v>
      </c>
      <c r="C20">
        <v>72</v>
      </c>
      <c r="D20" t="s">
        <v>892</v>
      </c>
      <c r="E20" t="s">
        <v>894</v>
      </c>
      <c r="F20" t="s">
        <v>905</v>
      </c>
      <c r="G20" t="s">
        <v>914</v>
      </c>
      <c r="H20" t="s">
        <v>968</v>
      </c>
      <c r="I20" t="s">
        <v>1324</v>
      </c>
      <c r="J20">
        <v>1</v>
      </c>
      <c r="K20" t="s">
        <v>1508</v>
      </c>
      <c r="L20" t="s">
        <v>1725</v>
      </c>
      <c r="M20">
        <v>33017</v>
      </c>
      <c r="N20" t="s">
        <v>1750</v>
      </c>
      <c r="O20" t="s">
        <v>1754</v>
      </c>
      <c r="P20" t="s">
        <v>1750</v>
      </c>
      <c r="Q20">
        <f t="shared" si="0"/>
        <v>397.79518072289159</v>
      </c>
    </row>
    <row r="21" spans="1:17" x14ac:dyDescent="0.3">
      <c r="A21" t="s">
        <v>32</v>
      </c>
      <c r="B21" t="s">
        <v>532</v>
      </c>
      <c r="C21">
        <v>4</v>
      </c>
      <c r="D21" t="s">
        <v>891</v>
      </c>
      <c r="E21" t="s">
        <v>894</v>
      </c>
      <c r="F21" t="s">
        <v>901</v>
      </c>
      <c r="G21" t="s">
        <v>924</v>
      </c>
      <c r="H21" t="s">
        <v>969</v>
      </c>
      <c r="I21" t="s">
        <v>1059</v>
      </c>
      <c r="J21">
        <v>1</v>
      </c>
      <c r="K21" t="s">
        <v>1509</v>
      </c>
      <c r="L21" t="s">
        <v>1733</v>
      </c>
      <c r="M21">
        <v>18836</v>
      </c>
      <c r="N21" t="s">
        <v>1750</v>
      </c>
      <c r="O21" t="s">
        <v>1754</v>
      </c>
      <c r="P21" t="s">
        <v>1751</v>
      </c>
      <c r="Q21">
        <f t="shared" si="0"/>
        <v>226.93975903614458</v>
      </c>
    </row>
    <row r="22" spans="1:17" x14ac:dyDescent="0.3">
      <c r="A22" t="s">
        <v>33</v>
      </c>
      <c r="B22" t="s">
        <v>533</v>
      </c>
      <c r="C22">
        <v>45</v>
      </c>
      <c r="D22" t="s">
        <v>891</v>
      </c>
      <c r="E22" t="s">
        <v>893</v>
      </c>
      <c r="F22" t="s">
        <v>902</v>
      </c>
      <c r="G22" t="s">
        <v>925</v>
      </c>
      <c r="H22" t="s">
        <v>970</v>
      </c>
      <c r="I22" t="s">
        <v>1106</v>
      </c>
      <c r="J22">
        <v>3</v>
      </c>
      <c r="K22" t="s">
        <v>1510</v>
      </c>
      <c r="L22" t="s">
        <v>1722</v>
      </c>
      <c r="M22">
        <v>63619</v>
      </c>
      <c r="N22" t="s">
        <v>1751</v>
      </c>
      <c r="O22" t="s">
        <v>1754</v>
      </c>
      <c r="P22" t="s">
        <v>1751</v>
      </c>
      <c r="Q22">
        <f t="shared" si="0"/>
        <v>766.49397590361446</v>
      </c>
    </row>
    <row r="23" spans="1:17" x14ac:dyDescent="0.3">
      <c r="A23" t="s">
        <v>34</v>
      </c>
      <c r="B23" t="s">
        <v>534</v>
      </c>
      <c r="C23">
        <v>37</v>
      </c>
      <c r="D23" t="s">
        <v>892</v>
      </c>
      <c r="E23" t="s">
        <v>898</v>
      </c>
      <c r="F23" t="s">
        <v>903</v>
      </c>
      <c r="G23" t="s">
        <v>926</v>
      </c>
      <c r="H23" t="s">
        <v>971</v>
      </c>
      <c r="I23" t="s">
        <v>1109</v>
      </c>
      <c r="J23">
        <v>2</v>
      </c>
      <c r="K23" t="s">
        <v>1511</v>
      </c>
      <c r="L23" t="s">
        <v>1734</v>
      </c>
      <c r="M23">
        <v>21767</v>
      </c>
      <c r="N23" t="s">
        <v>1751</v>
      </c>
      <c r="O23" t="s">
        <v>1756</v>
      </c>
      <c r="P23" t="s">
        <v>1750</v>
      </c>
      <c r="Q23">
        <f t="shared" si="0"/>
        <v>262.25301204819277</v>
      </c>
    </row>
    <row r="24" spans="1:17" x14ac:dyDescent="0.3">
      <c r="A24" t="s">
        <v>35</v>
      </c>
      <c r="B24" t="s">
        <v>535</v>
      </c>
      <c r="C24">
        <v>25</v>
      </c>
      <c r="D24" t="s">
        <v>891</v>
      </c>
      <c r="E24" t="s">
        <v>893</v>
      </c>
      <c r="F24" t="s">
        <v>906</v>
      </c>
      <c r="G24" t="s">
        <v>927</v>
      </c>
      <c r="H24" t="s">
        <v>972</v>
      </c>
      <c r="I24" t="s">
        <v>1144</v>
      </c>
      <c r="J24">
        <v>1</v>
      </c>
      <c r="K24" t="s">
        <v>1512</v>
      </c>
      <c r="L24" t="s">
        <v>1726</v>
      </c>
      <c r="M24">
        <v>15742</v>
      </c>
      <c r="N24" t="s">
        <v>1750</v>
      </c>
      <c r="O24" t="s">
        <v>1754</v>
      </c>
      <c r="P24" t="s">
        <v>1751</v>
      </c>
      <c r="Q24">
        <f t="shared" si="0"/>
        <v>189.66265060240963</v>
      </c>
    </row>
    <row r="25" spans="1:17" x14ac:dyDescent="0.3">
      <c r="A25" t="s">
        <v>36</v>
      </c>
      <c r="B25" t="s">
        <v>536</v>
      </c>
      <c r="C25">
        <v>61</v>
      </c>
      <c r="D25" t="s">
        <v>891</v>
      </c>
      <c r="E25" t="s">
        <v>894</v>
      </c>
      <c r="F25" t="s">
        <v>902</v>
      </c>
      <c r="G25" t="s">
        <v>911</v>
      </c>
      <c r="H25" t="s">
        <v>973</v>
      </c>
      <c r="I25" t="s">
        <v>1019</v>
      </c>
      <c r="J25">
        <v>4</v>
      </c>
      <c r="K25" t="s">
        <v>1513</v>
      </c>
      <c r="L25" t="s">
        <v>1722</v>
      </c>
      <c r="M25">
        <v>149635</v>
      </c>
      <c r="N25" t="s">
        <v>1750</v>
      </c>
      <c r="O25" t="s">
        <v>1753</v>
      </c>
      <c r="P25" t="s">
        <v>1750</v>
      </c>
      <c r="Q25">
        <f t="shared" si="0"/>
        <v>1802.8313253012047</v>
      </c>
    </row>
    <row r="26" spans="1:17" x14ac:dyDescent="0.3">
      <c r="A26" t="s">
        <v>37</v>
      </c>
      <c r="B26" t="s">
        <v>537</v>
      </c>
      <c r="C26">
        <v>55</v>
      </c>
      <c r="D26" t="s">
        <v>891</v>
      </c>
      <c r="E26" t="s">
        <v>893</v>
      </c>
      <c r="F26" t="s">
        <v>908</v>
      </c>
      <c r="G26" t="s">
        <v>928</v>
      </c>
      <c r="H26" t="s">
        <v>974</v>
      </c>
      <c r="I26" t="s">
        <v>1292</v>
      </c>
      <c r="J26">
        <v>1</v>
      </c>
      <c r="K26" t="s">
        <v>1514</v>
      </c>
      <c r="L26" t="s">
        <v>1735</v>
      </c>
      <c r="M26">
        <v>50045</v>
      </c>
      <c r="N26" t="s">
        <v>1750</v>
      </c>
      <c r="O26" t="s">
        <v>1754</v>
      </c>
      <c r="P26" t="s">
        <v>1750</v>
      </c>
      <c r="Q26">
        <f t="shared" si="0"/>
        <v>602.95180722891564</v>
      </c>
    </row>
    <row r="27" spans="1:17" x14ac:dyDescent="0.3">
      <c r="A27" t="s">
        <v>38</v>
      </c>
      <c r="B27" t="s">
        <v>538</v>
      </c>
      <c r="C27">
        <v>54</v>
      </c>
      <c r="D27" t="s">
        <v>892</v>
      </c>
      <c r="E27" t="s">
        <v>894</v>
      </c>
      <c r="F27" t="s">
        <v>905</v>
      </c>
      <c r="G27" t="s">
        <v>929</v>
      </c>
      <c r="H27" t="s">
        <v>975</v>
      </c>
      <c r="I27" t="s">
        <v>1077</v>
      </c>
      <c r="J27">
        <v>2</v>
      </c>
      <c r="K27" t="s">
        <v>1515</v>
      </c>
      <c r="L27" t="s">
        <v>1725</v>
      </c>
      <c r="M27">
        <v>52114</v>
      </c>
      <c r="N27" t="s">
        <v>1751</v>
      </c>
      <c r="O27" t="s">
        <v>1756</v>
      </c>
      <c r="P27" t="s">
        <v>1750</v>
      </c>
      <c r="Q27">
        <f t="shared" si="0"/>
        <v>627.8795180722891</v>
      </c>
    </row>
    <row r="28" spans="1:17" x14ac:dyDescent="0.3">
      <c r="A28" t="s">
        <v>39</v>
      </c>
      <c r="B28" t="s">
        <v>539</v>
      </c>
      <c r="C28">
        <v>37</v>
      </c>
      <c r="D28" t="s">
        <v>892</v>
      </c>
      <c r="E28" t="s">
        <v>897</v>
      </c>
      <c r="F28" t="s">
        <v>903</v>
      </c>
      <c r="G28" t="s">
        <v>930</v>
      </c>
      <c r="H28" t="s">
        <v>976</v>
      </c>
      <c r="I28" t="s">
        <v>1325</v>
      </c>
      <c r="J28">
        <v>1</v>
      </c>
      <c r="K28" t="s">
        <v>1511</v>
      </c>
      <c r="L28" t="s">
        <v>1736</v>
      </c>
      <c r="M28">
        <v>23569</v>
      </c>
      <c r="N28" t="s">
        <v>1750</v>
      </c>
      <c r="O28" t="s">
        <v>1753</v>
      </c>
      <c r="P28" t="s">
        <v>1750</v>
      </c>
      <c r="Q28">
        <f t="shared" si="0"/>
        <v>283.96385542168673</v>
      </c>
    </row>
    <row r="29" spans="1:17" x14ac:dyDescent="0.3">
      <c r="A29" t="s">
        <v>40</v>
      </c>
      <c r="B29" t="s">
        <v>540</v>
      </c>
      <c r="C29">
        <v>72</v>
      </c>
      <c r="D29" t="s">
        <v>892</v>
      </c>
      <c r="E29" t="s">
        <v>893</v>
      </c>
      <c r="F29" t="s">
        <v>903</v>
      </c>
      <c r="G29" t="s">
        <v>930</v>
      </c>
      <c r="H29" t="s">
        <v>977</v>
      </c>
      <c r="I29" t="s">
        <v>967</v>
      </c>
      <c r="J29">
        <v>2</v>
      </c>
      <c r="K29" t="s">
        <v>1516</v>
      </c>
      <c r="L29" t="s">
        <v>1736</v>
      </c>
      <c r="M29">
        <v>7732</v>
      </c>
      <c r="N29" t="s">
        <v>1750</v>
      </c>
      <c r="O29" t="s">
        <v>1754</v>
      </c>
      <c r="P29" t="s">
        <v>1751</v>
      </c>
      <c r="Q29">
        <f t="shared" si="0"/>
        <v>93.156626506024097</v>
      </c>
    </row>
    <row r="30" spans="1:17" x14ac:dyDescent="0.3">
      <c r="A30" t="s">
        <v>41</v>
      </c>
      <c r="B30" t="s">
        <v>541</v>
      </c>
      <c r="C30">
        <v>27</v>
      </c>
      <c r="D30" t="s">
        <v>892</v>
      </c>
      <c r="E30" t="s">
        <v>893</v>
      </c>
      <c r="F30" t="s">
        <v>906</v>
      </c>
      <c r="G30" t="s">
        <v>919</v>
      </c>
      <c r="H30" t="s">
        <v>978</v>
      </c>
      <c r="I30" t="s">
        <v>1246</v>
      </c>
      <c r="J30">
        <v>7</v>
      </c>
      <c r="K30" t="s">
        <v>1517</v>
      </c>
      <c r="L30" t="s">
        <v>1726</v>
      </c>
      <c r="M30">
        <v>242232</v>
      </c>
      <c r="N30" t="s">
        <v>1750</v>
      </c>
      <c r="O30" t="s">
        <v>1753</v>
      </c>
      <c r="P30" t="s">
        <v>1751</v>
      </c>
      <c r="Q30">
        <f t="shared" si="0"/>
        <v>2918.4578313253014</v>
      </c>
    </row>
    <row r="31" spans="1:17" x14ac:dyDescent="0.3">
      <c r="A31" t="s">
        <v>42</v>
      </c>
      <c r="B31" t="s">
        <v>542</v>
      </c>
      <c r="C31">
        <v>48</v>
      </c>
      <c r="D31" t="s">
        <v>891</v>
      </c>
      <c r="E31" t="s">
        <v>897</v>
      </c>
      <c r="F31" t="s">
        <v>907</v>
      </c>
      <c r="G31" t="s">
        <v>931</v>
      </c>
      <c r="H31" t="s">
        <v>979</v>
      </c>
      <c r="I31" t="s">
        <v>1201</v>
      </c>
      <c r="J31">
        <v>2</v>
      </c>
      <c r="K31" t="s">
        <v>1518</v>
      </c>
      <c r="L31" t="s">
        <v>1727</v>
      </c>
      <c r="M31">
        <v>26778</v>
      </c>
      <c r="N31" t="s">
        <v>1750</v>
      </c>
      <c r="O31" t="s">
        <v>1756</v>
      </c>
      <c r="P31" t="s">
        <v>1751</v>
      </c>
      <c r="Q31">
        <f t="shared" si="0"/>
        <v>322.62650602409639</v>
      </c>
    </row>
    <row r="32" spans="1:17" x14ac:dyDescent="0.3">
      <c r="A32" t="s">
        <v>43</v>
      </c>
      <c r="B32" t="s">
        <v>543</v>
      </c>
      <c r="C32">
        <v>46</v>
      </c>
      <c r="D32" t="s">
        <v>891</v>
      </c>
      <c r="E32" t="s">
        <v>894</v>
      </c>
      <c r="F32" t="s">
        <v>908</v>
      </c>
      <c r="G32" t="s">
        <v>921</v>
      </c>
      <c r="H32" t="s">
        <v>980</v>
      </c>
      <c r="I32" t="s">
        <v>1326</v>
      </c>
      <c r="J32">
        <v>4</v>
      </c>
      <c r="K32" t="s">
        <v>1519</v>
      </c>
      <c r="L32" t="s">
        <v>1737</v>
      </c>
      <c r="M32">
        <v>183904</v>
      </c>
      <c r="N32" t="s">
        <v>1751</v>
      </c>
      <c r="O32" t="s">
        <v>1754</v>
      </c>
      <c r="P32" t="s">
        <v>1751</v>
      </c>
      <c r="Q32">
        <f t="shared" si="0"/>
        <v>2215.7108433734938</v>
      </c>
    </row>
    <row r="33" spans="1:17" x14ac:dyDescent="0.3">
      <c r="A33" t="s">
        <v>44</v>
      </c>
      <c r="B33" t="s">
        <v>544</v>
      </c>
      <c r="C33">
        <v>76</v>
      </c>
      <c r="D33" t="s">
        <v>891</v>
      </c>
      <c r="E33" t="s">
        <v>898</v>
      </c>
      <c r="F33" t="s">
        <v>909</v>
      </c>
      <c r="G33" t="s">
        <v>932</v>
      </c>
      <c r="H33" t="s">
        <v>981</v>
      </c>
      <c r="I33" t="s">
        <v>1138</v>
      </c>
      <c r="J33">
        <v>1</v>
      </c>
      <c r="K33" t="s">
        <v>1520</v>
      </c>
      <c r="L33" t="s">
        <v>1738</v>
      </c>
      <c r="M33">
        <v>19915</v>
      </c>
      <c r="N33" t="s">
        <v>1750</v>
      </c>
      <c r="O33" t="s">
        <v>1754</v>
      </c>
      <c r="P33" t="s">
        <v>1751</v>
      </c>
      <c r="Q33">
        <f t="shared" si="0"/>
        <v>239.93975903614458</v>
      </c>
    </row>
    <row r="34" spans="1:17" x14ac:dyDescent="0.3">
      <c r="A34" t="s">
        <v>45</v>
      </c>
      <c r="B34" t="s">
        <v>545</v>
      </c>
      <c r="C34">
        <v>60</v>
      </c>
      <c r="D34" t="s">
        <v>891</v>
      </c>
      <c r="E34" t="s">
        <v>897</v>
      </c>
      <c r="F34" t="s">
        <v>906</v>
      </c>
      <c r="G34" t="s">
        <v>910</v>
      </c>
      <c r="H34" t="s">
        <v>982</v>
      </c>
      <c r="I34" t="s">
        <v>1327</v>
      </c>
      <c r="J34">
        <v>1</v>
      </c>
      <c r="K34" t="s">
        <v>1521</v>
      </c>
      <c r="L34" t="s">
        <v>1730</v>
      </c>
      <c r="M34">
        <v>19695</v>
      </c>
      <c r="N34" t="s">
        <v>1750</v>
      </c>
      <c r="O34" t="s">
        <v>1753</v>
      </c>
      <c r="P34" t="s">
        <v>1750</v>
      </c>
      <c r="Q34">
        <f t="shared" si="0"/>
        <v>237.28915662650601</v>
      </c>
    </row>
    <row r="35" spans="1:17" x14ac:dyDescent="0.3">
      <c r="A35" t="s">
        <v>46</v>
      </c>
      <c r="B35" t="s">
        <v>546</v>
      </c>
      <c r="C35">
        <v>42</v>
      </c>
      <c r="D35" t="s">
        <v>892</v>
      </c>
      <c r="E35" t="s">
        <v>895</v>
      </c>
      <c r="F35" t="s">
        <v>906</v>
      </c>
      <c r="G35" t="s">
        <v>919</v>
      </c>
      <c r="H35" t="s">
        <v>983</v>
      </c>
      <c r="I35" t="s">
        <v>1217</v>
      </c>
      <c r="J35">
        <v>4</v>
      </c>
      <c r="K35" t="s">
        <v>1522</v>
      </c>
      <c r="L35" t="s">
        <v>1739</v>
      </c>
      <c r="M35">
        <v>115447</v>
      </c>
      <c r="N35" t="s">
        <v>1750</v>
      </c>
      <c r="O35" t="s">
        <v>1756</v>
      </c>
      <c r="P35" t="s">
        <v>1751</v>
      </c>
      <c r="Q35">
        <f t="shared" si="0"/>
        <v>1390.9277108433735</v>
      </c>
    </row>
    <row r="36" spans="1:17" x14ac:dyDescent="0.3">
      <c r="A36" t="s">
        <v>47</v>
      </c>
      <c r="B36" t="s">
        <v>547</v>
      </c>
      <c r="C36">
        <v>58</v>
      </c>
      <c r="D36" t="s">
        <v>891</v>
      </c>
      <c r="E36" t="s">
        <v>897</v>
      </c>
      <c r="F36" t="s">
        <v>905</v>
      </c>
      <c r="G36" t="s">
        <v>933</v>
      </c>
      <c r="H36" t="s">
        <v>984</v>
      </c>
      <c r="I36" t="s">
        <v>1328</v>
      </c>
      <c r="J36">
        <v>1</v>
      </c>
      <c r="K36" t="s">
        <v>1523</v>
      </c>
      <c r="L36" t="s">
        <v>1740</v>
      </c>
      <c r="M36">
        <v>32668</v>
      </c>
      <c r="N36" t="s">
        <v>1751</v>
      </c>
      <c r="O36" t="s">
        <v>1756</v>
      </c>
      <c r="P36" t="s">
        <v>1751</v>
      </c>
      <c r="Q36">
        <f t="shared" si="0"/>
        <v>393.59036144578312</v>
      </c>
    </row>
    <row r="37" spans="1:17" x14ac:dyDescent="0.3">
      <c r="A37" t="s">
        <v>48</v>
      </c>
      <c r="B37" t="s">
        <v>548</v>
      </c>
      <c r="C37">
        <v>72</v>
      </c>
      <c r="D37" t="s">
        <v>892</v>
      </c>
      <c r="E37" t="s">
        <v>894</v>
      </c>
      <c r="F37" t="s">
        <v>908</v>
      </c>
      <c r="G37" t="s">
        <v>917</v>
      </c>
      <c r="H37" t="s">
        <v>958</v>
      </c>
      <c r="I37" t="s">
        <v>1320</v>
      </c>
      <c r="J37">
        <v>1</v>
      </c>
      <c r="K37" t="s">
        <v>1524</v>
      </c>
      <c r="L37" t="s">
        <v>1735</v>
      </c>
      <c r="M37">
        <v>25206</v>
      </c>
      <c r="N37" t="s">
        <v>1750</v>
      </c>
      <c r="O37" t="s">
        <v>1753</v>
      </c>
      <c r="P37" t="s">
        <v>1751</v>
      </c>
      <c r="Q37">
        <f t="shared" si="0"/>
        <v>303.68674698795184</v>
      </c>
    </row>
    <row r="38" spans="1:17" x14ac:dyDescent="0.3">
      <c r="A38" t="s">
        <v>49</v>
      </c>
      <c r="B38" t="s">
        <v>549</v>
      </c>
      <c r="C38">
        <v>38</v>
      </c>
      <c r="D38" t="s">
        <v>892</v>
      </c>
      <c r="E38" t="s">
        <v>894</v>
      </c>
      <c r="F38" t="s">
        <v>904</v>
      </c>
      <c r="G38" t="s">
        <v>934</v>
      </c>
      <c r="H38" t="s">
        <v>985</v>
      </c>
      <c r="I38" t="s">
        <v>1253</v>
      </c>
      <c r="J38">
        <v>8</v>
      </c>
      <c r="K38" t="s">
        <v>1525</v>
      </c>
      <c r="L38" t="s">
        <v>1724</v>
      </c>
      <c r="M38">
        <v>375496</v>
      </c>
      <c r="N38" t="s">
        <v>1750</v>
      </c>
      <c r="O38" t="s">
        <v>1754</v>
      </c>
      <c r="P38" t="s">
        <v>1751</v>
      </c>
      <c r="Q38">
        <f t="shared" si="0"/>
        <v>4524.0481927710844</v>
      </c>
    </row>
    <row r="39" spans="1:17" x14ac:dyDescent="0.3">
      <c r="A39" t="s">
        <v>50</v>
      </c>
      <c r="B39" t="s">
        <v>550</v>
      </c>
      <c r="C39">
        <v>29</v>
      </c>
      <c r="D39" t="s">
        <v>891</v>
      </c>
      <c r="E39" t="s">
        <v>893</v>
      </c>
      <c r="F39" t="s">
        <v>906</v>
      </c>
      <c r="G39" t="s">
        <v>927</v>
      </c>
      <c r="H39" t="s">
        <v>986</v>
      </c>
      <c r="I39" t="s">
        <v>1007</v>
      </c>
      <c r="J39">
        <v>16</v>
      </c>
      <c r="K39" t="s">
        <v>1503</v>
      </c>
      <c r="L39" t="s">
        <v>1739</v>
      </c>
      <c r="M39">
        <v>284441</v>
      </c>
      <c r="N39" t="s">
        <v>1751</v>
      </c>
      <c r="O39" t="s">
        <v>1754</v>
      </c>
      <c r="P39" t="s">
        <v>1750</v>
      </c>
      <c r="Q39">
        <f t="shared" si="0"/>
        <v>3427</v>
      </c>
    </row>
    <row r="40" spans="1:17" x14ac:dyDescent="0.3">
      <c r="A40" t="s">
        <v>51</v>
      </c>
      <c r="B40" t="s">
        <v>551</v>
      </c>
      <c r="C40">
        <v>67</v>
      </c>
      <c r="D40" t="s">
        <v>892</v>
      </c>
      <c r="E40" t="s">
        <v>894</v>
      </c>
      <c r="F40" t="s">
        <v>909</v>
      </c>
      <c r="G40" t="s">
        <v>935</v>
      </c>
      <c r="H40" t="s">
        <v>987</v>
      </c>
      <c r="I40" t="s">
        <v>1018</v>
      </c>
      <c r="J40">
        <v>3</v>
      </c>
      <c r="K40" t="s">
        <v>1526</v>
      </c>
      <c r="L40" t="s">
        <v>1738</v>
      </c>
      <c r="M40">
        <v>62968</v>
      </c>
      <c r="N40" t="s">
        <v>1750</v>
      </c>
      <c r="O40" t="s">
        <v>1754</v>
      </c>
      <c r="P40" t="s">
        <v>1751</v>
      </c>
      <c r="Q40">
        <f t="shared" si="0"/>
        <v>758.65060240963851</v>
      </c>
    </row>
    <row r="41" spans="1:17" x14ac:dyDescent="0.3">
      <c r="A41" t="s">
        <v>52</v>
      </c>
      <c r="B41" t="s">
        <v>552</v>
      </c>
      <c r="C41">
        <v>36</v>
      </c>
      <c r="D41" t="s">
        <v>891</v>
      </c>
      <c r="E41" t="s">
        <v>899</v>
      </c>
      <c r="F41" t="s">
        <v>908</v>
      </c>
      <c r="G41" t="s">
        <v>936</v>
      </c>
      <c r="H41" t="s">
        <v>979</v>
      </c>
      <c r="I41" t="s">
        <v>1201</v>
      </c>
      <c r="J41">
        <v>2</v>
      </c>
      <c r="K41" t="s">
        <v>1527</v>
      </c>
      <c r="L41" t="s">
        <v>1735</v>
      </c>
      <c r="M41">
        <v>41208</v>
      </c>
      <c r="N41" t="s">
        <v>1750</v>
      </c>
      <c r="O41" t="s">
        <v>1755</v>
      </c>
      <c r="P41" t="s">
        <v>1751</v>
      </c>
      <c r="Q41">
        <f t="shared" si="0"/>
        <v>496.48192771084337</v>
      </c>
    </row>
    <row r="42" spans="1:17" x14ac:dyDescent="0.3">
      <c r="A42" t="s">
        <v>53</v>
      </c>
      <c r="B42" t="s">
        <v>553</v>
      </c>
      <c r="C42">
        <v>75</v>
      </c>
      <c r="D42" t="s">
        <v>892</v>
      </c>
      <c r="E42" t="s">
        <v>898</v>
      </c>
      <c r="F42" t="s">
        <v>906</v>
      </c>
      <c r="G42" t="s">
        <v>910</v>
      </c>
      <c r="H42" t="s">
        <v>988</v>
      </c>
      <c r="I42" t="s">
        <v>1077</v>
      </c>
      <c r="J42">
        <v>1</v>
      </c>
      <c r="K42" t="s">
        <v>1528</v>
      </c>
      <c r="L42" t="s">
        <v>1730</v>
      </c>
      <c r="M42">
        <v>29596</v>
      </c>
      <c r="N42" t="s">
        <v>1750</v>
      </c>
      <c r="O42" t="s">
        <v>1754</v>
      </c>
      <c r="P42" t="s">
        <v>1751</v>
      </c>
      <c r="Q42">
        <f t="shared" si="0"/>
        <v>356.57831325301203</v>
      </c>
    </row>
    <row r="43" spans="1:17" x14ac:dyDescent="0.3">
      <c r="A43" t="s">
        <v>54</v>
      </c>
      <c r="B43" t="s">
        <v>554</v>
      </c>
      <c r="C43">
        <v>48</v>
      </c>
      <c r="D43" t="s">
        <v>892</v>
      </c>
      <c r="E43" t="s">
        <v>893</v>
      </c>
      <c r="F43" t="s">
        <v>909</v>
      </c>
      <c r="G43" t="s">
        <v>920</v>
      </c>
      <c r="H43" t="s">
        <v>976</v>
      </c>
      <c r="I43" t="s">
        <v>1329</v>
      </c>
      <c r="J43">
        <v>2</v>
      </c>
      <c r="K43" t="s">
        <v>1529</v>
      </c>
      <c r="L43" t="s">
        <v>1741</v>
      </c>
      <c r="M43">
        <v>51904</v>
      </c>
      <c r="N43" t="s">
        <v>1751</v>
      </c>
      <c r="O43" t="s">
        <v>1754</v>
      </c>
      <c r="P43" t="s">
        <v>1751</v>
      </c>
      <c r="Q43">
        <f t="shared" si="0"/>
        <v>625.34939759036149</v>
      </c>
    </row>
    <row r="44" spans="1:17" x14ac:dyDescent="0.3">
      <c r="A44" t="s">
        <v>55</v>
      </c>
      <c r="B44" t="s">
        <v>555</v>
      </c>
      <c r="C44">
        <v>35</v>
      </c>
      <c r="D44" t="s">
        <v>891</v>
      </c>
      <c r="E44" t="s">
        <v>894</v>
      </c>
      <c r="F44" t="s">
        <v>904</v>
      </c>
      <c r="G44" t="s">
        <v>937</v>
      </c>
      <c r="H44" t="s">
        <v>989</v>
      </c>
      <c r="I44" t="s">
        <v>1330</v>
      </c>
      <c r="J44">
        <v>1</v>
      </c>
      <c r="K44" t="s">
        <v>1530</v>
      </c>
      <c r="L44" t="s">
        <v>1742</v>
      </c>
      <c r="M44">
        <v>13774</v>
      </c>
      <c r="N44" t="s">
        <v>1750</v>
      </c>
      <c r="O44" t="s">
        <v>1752</v>
      </c>
      <c r="P44" t="s">
        <v>1751</v>
      </c>
      <c r="Q44">
        <f t="shared" si="0"/>
        <v>165.95180722891567</v>
      </c>
    </row>
    <row r="45" spans="1:17" x14ac:dyDescent="0.3">
      <c r="A45" t="s">
        <v>56</v>
      </c>
      <c r="B45" t="s">
        <v>556</v>
      </c>
      <c r="C45">
        <v>56</v>
      </c>
      <c r="D45" t="s">
        <v>891</v>
      </c>
      <c r="E45" t="s">
        <v>893</v>
      </c>
      <c r="F45" t="s">
        <v>909</v>
      </c>
      <c r="G45" t="s">
        <v>920</v>
      </c>
      <c r="H45" t="s">
        <v>990</v>
      </c>
      <c r="I45" t="s">
        <v>1331</v>
      </c>
      <c r="J45">
        <v>1</v>
      </c>
      <c r="K45" t="s">
        <v>1531</v>
      </c>
      <c r="L45" t="s">
        <v>1741</v>
      </c>
      <c r="M45">
        <v>19453</v>
      </c>
      <c r="N45" t="s">
        <v>1750</v>
      </c>
      <c r="O45" t="s">
        <v>1753</v>
      </c>
      <c r="P45" t="s">
        <v>1751</v>
      </c>
      <c r="Q45">
        <f t="shared" si="0"/>
        <v>234.37349397590361</v>
      </c>
    </row>
    <row r="46" spans="1:17" x14ac:dyDescent="0.3">
      <c r="A46" t="s">
        <v>57</v>
      </c>
      <c r="B46" t="s">
        <v>557</v>
      </c>
      <c r="C46">
        <v>68</v>
      </c>
      <c r="D46" t="s">
        <v>892</v>
      </c>
      <c r="E46" t="s">
        <v>897</v>
      </c>
      <c r="F46" t="s">
        <v>909</v>
      </c>
      <c r="G46" t="s">
        <v>932</v>
      </c>
      <c r="H46" t="s">
        <v>991</v>
      </c>
      <c r="I46" t="s">
        <v>1296</v>
      </c>
      <c r="J46">
        <v>1</v>
      </c>
      <c r="K46" t="s">
        <v>1532</v>
      </c>
      <c r="L46" t="s">
        <v>1731</v>
      </c>
      <c r="M46">
        <v>6776</v>
      </c>
      <c r="N46" t="s">
        <v>1750</v>
      </c>
      <c r="O46" t="s">
        <v>1752</v>
      </c>
      <c r="P46" t="s">
        <v>1751</v>
      </c>
      <c r="Q46">
        <f t="shared" si="0"/>
        <v>81.638554216867476</v>
      </c>
    </row>
    <row r="47" spans="1:17" x14ac:dyDescent="0.3">
      <c r="A47" t="s">
        <v>58</v>
      </c>
      <c r="B47" t="s">
        <v>537</v>
      </c>
      <c r="C47">
        <v>56</v>
      </c>
      <c r="D47" t="s">
        <v>891</v>
      </c>
      <c r="E47" t="s">
        <v>893</v>
      </c>
      <c r="F47" t="s">
        <v>907</v>
      </c>
      <c r="G47" t="s">
        <v>938</v>
      </c>
      <c r="H47" t="s">
        <v>958</v>
      </c>
      <c r="I47" t="s">
        <v>1320</v>
      </c>
      <c r="J47">
        <v>1</v>
      </c>
      <c r="K47" t="s">
        <v>1533</v>
      </c>
      <c r="L47" t="s">
        <v>1727</v>
      </c>
      <c r="M47">
        <v>47426</v>
      </c>
      <c r="N47" t="s">
        <v>1751</v>
      </c>
      <c r="O47" t="s">
        <v>1752</v>
      </c>
      <c r="P47" t="s">
        <v>1750</v>
      </c>
      <c r="Q47">
        <f t="shared" si="0"/>
        <v>571.39759036144574</v>
      </c>
    </row>
    <row r="48" spans="1:17" x14ac:dyDescent="0.3">
      <c r="A48" t="s">
        <v>59</v>
      </c>
      <c r="B48" t="s">
        <v>558</v>
      </c>
      <c r="C48">
        <v>38</v>
      </c>
      <c r="D48" t="s">
        <v>891</v>
      </c>
      <c r="E48" t="s">
        <v>893</v>
      </c>
      <c r="F48" t="s">
        <v>907</v>
      </c>
      <c r="G48" t="s">
        <v>938</v>
      </c>
      <c r="H48" t="s">
        <v>992</v>
      </c>
      <c r="I48" t="s">
        <v>1332</v>
      </c>
      <c r="J48">
        <v>24</v>
      </c>
      <c r="K48" t="s">
        <v>1534</v>
      </c>
      <c r="L48" t="s">
        <v>1743</v>
      </c>
      <c r="M48">
        <v>1141044</v>
      </c>
      <c r="N48" t="s">
        <v>1750</v>
      </c>
      <c r="O48" t="s">
        <v>1754</v>
      </c>
      <c r="P48" t="s">
        <v>1750</v>
      </c>
      <c r="Q48">
        <f t="shared" si="0"/>
        <v>13747.518072289156</v>
      </c>
    </row>
    <row r="49" spans="1:17" x14ac:dyDescent="0.3">
      <c r="A49" t="s">
        <v>60</v>
      </c>
      <c r="B49" t="s">
        <v>559</v>
      </c>
      <c r="C49">
        <v>77</v>
      </c>
      <c r="D49" t="s">
        <v>891</v>
      </c>
      <c r="E49" t="s">
        <v>893</v>
      </c>
      <c r="F49" t="s">
        <v>909</v>
      </c>
      <c r="G49" t="s">
        <v>920</v>
      </c>
      <c r="H49" t="s">
        <v>993</v>
      </c>
      <c r="I49" t="s">
        <v>1158</v>
      </c>
      <c r="J49">
        <v>1</v>
      </c>
      <c r="K49" t="s">
        <v>1535</v>
      </c>
      <c r="L49" t="s">
        <v>1738</v>
      </c>
      <c r="M49">
        <v>29175</v>
      </c>
      <c r="N49" t="s">
        <v>1750</v>
      </c>
      <c r="O49" t="s">
        <v>1754</v>
      </c>
      <c r="P49" t="s">
        <v>1751</v>
      </c>
      <c r="Q49">
        <f t="shared" si="0"/>
        <v>351.50602409638554</v>
      </c>
    </row>
    <row r="50" spans="1:17" x14ac:dyDescent="0.3">
      <c r="A50" t="s">
        <v>61</v>
      </c>
      <c r="B50" t="s">
        <v>560</v>
      </c>
      <c r="C50">
        <v>72</v>
      </c>
      <c r="D50" t="s">
        <v>892</v>
      </c>
      <c r="E50" t="s">
        <v>894</v>
      </c>
      <c r="F50" t="s">
        <v>902</v>
      </c>
      <c r="G50" t="s">
        <v>923</v>
      </c>
      <c r="H50" t="s">
        <v>994</v>
      </c>
      <c r="I50" t="s">
        <v>1320</v>
      </c>
      <c r="J50">
        <v>5</v>
      </c>
      <c r="K50" t="s">
        <v>1536</v>
      </c>
      <c r="L50" t="s">
        <v>1744</v>
      </c>
      <c r="M50">
        <v>296800</v>
      </c>
      <c r="N50" t="s">
        <v>1751</v>
      </c>
      <c r="O50" t="s">
        <v>1754</v>
      </c>
      <c r="P50" t="s">
        <v>1751</v>
      </c>
      <c r="Q50">
        <f t="shared" si="0"/>
        <v>3575.9036144578313</v>
      </c>
    </row>
    <row r="51" spans="1:17" x14ac:dyDescent="0.3">
      <c r="A51" t="s">
        <v>62</v>
      </c>
      <c r="B51" t="s">
        <v>561</v>
      </c>
      <c r="C51">
        <v>62</v>
      </c>
      <c r="D51" t="s">
        <v>891</v>
      </c>
      <c r="E51" t="s">
        <v>893</v>
      </c>
      <c r="F51" t="s">
        <v>905</v>
      </c>
      <c r="G51" t="s">
        <v>939</v>
      </c>
      <c r="H51" t="s">
        <v>995</v>
      </c>
      <c r="I51" t="s">
        <v>1122</v>
      </c>
      <c r="J51">
        <v>2</v>
      </c>
      <c r="K51" t="s">
        <v>1537</v>
      </c>
      <c r="L51" t="s">
        <v>1729</v>
      </c>
      <c r="M51">
        <v>60975</v>
      </c>
      <c r="N51" t="s">
        <v>1750</v>
      </c>
      <c r="O51" t="s">
        <v>1756</v>
      </c>
      <c r="P51" t="s">
        <v>1751</v>
      </c>
      <c r="Q51">
        <f t="shared" si="0"/>
        <v>734.63855421686742</v>
      </c>
    </row>
    <row r="52" spans="1:17" x14ac:dyDescent="0.3">
      <c r="A52" t="s">
        <v>63</v>
      </c>
      <c r="B52" t="s">
        <v>562</v>
      </c>
      <c r="C52">
        <v>44</v>
      </c>
      <c r="D52" t="s">
        <v>892</v>
      </c>
      <c r="E52" t="s">
        <v>898</v>
      </c>
      <c r="F52" t="s">
        <v>904</v>
      </c>
      <c r="G52" t="s">
        <v>940</v>
      </c>
      <c r="H52" t="s">
        <v>996</v>
      </c>
      <c r="I52" t="s">
        <v>1333</v>
      </c>
      <c r="J52">
        <v>2</v>
      </c>
      <c r="K52" t="s">
        <v>1538</v>
      </c>
      <c r="L52" t="s">
        <v>1724</v>
      </c>
      <c r="M52">
        <v>43403</v>
      </c>
      <c r="N52" t="s">
        <v>1750</v>
      </c>
      <c r="O52" t="s">
        <v>1756</v>
      </c>
      <c r="P52" t="s">
        <v>1751</v>
      </c>
      <c r="Q52">
        <f t="shared" si="0"/>
        <v>522.92771084337346</v>
      </c>
    </row>
    <row r="53" spans="1:17" x14ac:dyDescent="0.3">
      <c r="A53" t="s">
        <v>64</v>
      </c>
      <c r="B53" t="s">
        <v>563</v>
      </c>
      <c r="C53">
        <v>29</v>
      </c>
      <c r="D53" t="s">
        <v>892</v>
      </c>
      <c r="E53" t="s">
        <v>897</v>
      </c>
      <c r="F53" t="s">
        <v>903</v>
      </c>
      <c r="G53" t="s">
        <v>941</v>
      </c>
      <c r="H53" t="s">
        <v>967</v>
      </c>
      <c r="I53" t="s">
        <v>1334</v>
      </c>
      <c r="J53">
        <v>3</v>
      </c>
      <c r="K53" t="s">
        <v>1539</v>
      </c>
      <c r="L53" t="s">
        <v>1723</v>
      </c>
      <c r="M53">
        <v>35222</v>
      </c>
      <c r="N53" t="s">
        <v>1751</v>
      </c>
      <c r="O53" t="s">
        <v>1752</v>
      </c>
      <c r="P53" t="s">
        <v>1751</v>
      </c>
      <c r="Q53">
        <f t="shared" si="0"/>
        <v>424.36144578313252</v>
      </c>
    </row>
    <row r="54" spans="1:17" x14ac:dyDescent="0.3">
      <c r="A54" t="s">
        <v>65</v>
      </c>
      <c r="B54" t="s">
        <v>564</v>
      </c>
      <c r="C54">
        <v>10</v>
      </c>
      <c r="D54" t="s">
        <v>892</v>
      </c>
      <c r="E54" t="s">
        <v>895</v>
      </c>
      <c r="F54" t="s">
        <v>901</v>
      </c>
      <c r="G54" t="s">
        <v>942</v>
      </c>
      <c r="H54" t="s">
        <v>997</v>
      </c>
      <c r="I54" t="s">
        <v>1335</v>
      </c>
      <c r="J54">
        <v>1</v>
      </c>
      <c r="K54" t="s">
        <v>1540</v>
      </c>
      <c r="L54" t="s">
        <v>1733</v>
      </c>
      <c r="M54">
        <v>37301</v>
      </c>
      <c r="N54" t="s">
        <v>1751</v>
      </c>
      <c r="O54" t="s">
        <v>1756</v>
      </c>
      <c r="P54" t="s">
        <v>1750</v>
      </c>
      <c r="Q54">
        <f t="shared" si="0"/>
        <v>449.40963855421688</v>
      </c>
    </row>
    <row r="55" spans="1:17" x14ac:dyDescent="0.3">
      <c r="A55" t="s">
        <v>66</v>
      </c>
      <c r="B55" t="s">
        <v>565</v>
      </c>
      <c r="C55">
        <v>78</v>
      </c>
      <c r="D55" t="s">
        <v>891</v>
      </c>
      <c r="E55" t="s">
        <v>893</v>
      </c>
      <c r="F55" t="s">
        <v>909</v>
      </c>
      <c r="G55" t="s">
        <v>922</v>
      </c>
      <c r="H55" t="s">
        <v>998</v>
      </c>
      <c r="I55" t="s">
        <v>992</v>
      </c>
      <c r="J55">
        <v>6</v>
      </c>
      <c r="K55" t="s">
        <v>1541</v>
      </c>
      <c r="L55" t="s">
        <v>1738</v>
      </c>
      <c r="M55">
        <v>206229</v>
      </c>
      <c r="N55" t="s">
        <v>1751</v>
      </c>
      <c r="O55" t="s">
        <v>1754</v>
      </c>
      <c r="P55" t="s">
        <v>1751</v>
      </c>
      <c r="Q55">
        <f t="shared" si="0"/>
        <v>2484.6867469879517</v>
      </c>
    </row>
    <row r="56" spans="1:17" x14ac:dyDescent="0.3">
      <c r="A56" t="s">
        <v>67</v>
      </c>
      <c r="B56" t="s">
        <v>566</v>
      </c>
      <c r="C56">
        <v>60</v>
      </c>
      <c r="D56" t="s">
        <v>892</v>
      </c>
      <c r="E56" t="s">
        <v>893</v>
      </c>
      <c r="F56" t="s">
        <v>906</v>
      </c>
      <c r="G56" t="s">
        <v>943</v>
      </c>
      <c r="H56" t="s">
        <v>999</v>
      </c>
      <c r="I56" t="s">
        <v>1336</v>
      </c>
      <c r="J56">
        <v>7</v>
      </c>
      <c r="K56" t="s">
        <v>1542</v>
      </c>
      <c r="L56" t="s">
        <v>1739</v>
      </c>
      <c r="M56">
        <v>141426</v>
      </c>
      <c r="N56" t="s">
        <v>1750</v>
      </c>
      <c r="O56" t="s">
        <v>1754</v>
      </c>
      <c r="P56" t="s">
        <v>1751</v>
      </c>
      <c r="Q56">
        <f t="shared" si="0"/>
        <v>1703.9277108433735</v>
      </c>
    </row>
    <row r="57" spans="1:17" x14ac:dyDescent="0.3">
      <c r="A57" t="s">
        <v>68</v>
      </c>
      <c r="B57" t="s">
        <v>567</v>
      </c>
      <c r="C57">
        <v>15</v>
      </c>
      <c r="D57" t="s">
        <v>891</v>
      </c>
      <c r="E57" t="s">
        <v>899</v>
      </c>
      <c r="F57" t="s">
        <v>901</v>
      </c>
      <c r="G57" t="s">
        <v>910</v>
      </c>
      <c r="H57" t="s">
        <v>977</v>
      </c>
      <c r="I57" t="s">
        <v>1091</v>
      </c>
      <c r="J57">
        <v>8</v>
      </c>
      <c r="K57" t="s">
        <v>1493</v>
      </c>
      <c r="L57" t="s">
        <v>1745</v>
      </c>
      <c r="M57">
        <v>259408</v>
      </c>
      <c r="N57" t="s">
        <v>1751</v>
      </c>
      <c r="O57" t="s">
        <v>1756</v>
      </c>
      <c r="P57" t="s">
        <v>1751</v>
      </c>
      <c r="Q57">
        <f t="shared" si="0"/>
        <v>3125.397590361446</v>
      </c>
    </row>
    <row r="58" spans="1:17" x14ac:dyDescent="0.3">
      <c r="A58" t="s">
        <v>69</v>
      </c>
      <c r="B58" t="s">
        <v>568</v>
      </c>
      <c r="C58">
        <v>31</v>
      </c>
      <c r="D58" t="s">
        <v>891</v>
      </c>
      <c r="E58" t="s">
        <v>894</v>
      </c>
      <c r="F58" t="s">
        <v>907</v>
      </c>
      <c r="G58" t="s">
        <v>938</v>
      </c>
      <c r="H58" t="s">
        <v>1000</v>
      </c>
      <c r="I58" t="s">
        <v>1337</v>
      </c>
      <c r="J58">
        <v>22</v>
      </c>
      <c r="K58" t="s">
        <v>1543</v>
      </c>
      <c r="L58" t="s">
        <v>1727</v>
      </c>
      <c r="M58">
        <v>492399</v>
      </c>
      <c r="N58" t="s">
        <v>1750</v>
      </c>
      <c r="O58" t="s">
        <v>1754</v>
      </c>
      <c r="P58" t="s">
        <v>1751</v>
      </c>
      <c r="Q58">
        <f t="shared" si="0"/>
        <v>5932.5180722891564</v>
      </c>
    </row>
    <row r="59" spans="1:17" x14ac:dyDescent="0.3">
      <c r="A59" t="s">
        <v>70</v>
      </c>
      <c r="B59" t="s">
        <v>569</v>
      </c>
      <c r="C59">
        <v>63</v>
      </c>
      <c r="D59" t="s">
        <v>891</v>
      </c>
      <c r="E59" t="s">
        <v>897</v>
      </c>
      <c r="F59" t="s">
        <v>902</v>
      </c>
      <c r="G59" t="s">
        <v>911</v>
      </c>
      <c r="H59" t="s">
        <v>1001</v>
      </c>
      <c r="I59" t="s">
        <v>1338</v>
      </c>
      <c r="J59">
        <v>4</v>
      </c>
      <c r="K59" t="s">
        <v>1544</v>
      </c>
      <c r="L59" t="s">
        <v>1746</v>
      </c>
      <c r="M59">
        <v>78663</v>
      </c>
      <c r="N59" t="s">
        <v>1751</v>
      </c>
      <c r="O59" t="s">
        <v>1753</v>
      </c>
      <c r="P59" t="s">
        <v>1751</v>
      </c>
      <c r="Q59">
        <f t="shared" si="0"/>
        <v>947.74698795180723</v>
      </c>
    </row>
    <row r="60" spans="1:17" x14ac:dyDescent="0.3">
      <c r="A60" t="s">
        <v>71</v>
      </c>
      <c r="B60" t="s">
        <v>570</v>
      </c>
      <c r="C60">
        <v>24</v>
      </c>
      <c r="D60" t="s">
        <v>891</v>
      </c>
      <c r="E60" t="s">
        <v>893</v>
      </c>
      <c r="F60" t="s">
        <v>905</v>
      </c>
      <c r="G60" t="s">
        <v>939</v>
      </c>
      <c r="H60" t="s">
        <v>1002</v>
      </c>
      <c r="I60" t="s">
        <v>1339</v>
      </c>
      <c r="J60">
        <v>17</v>
      </c>
      <c r="K60" t="s">
        <v>1545</v>
      </c>
      <c r="L60" t="s">
        <v>1740</v>
      </c>
      <c r="M60">
        <v>455466</v>
      </c>
      <c r="N60" t="s">
        <v>1751</v>
      </c>
      <c r="O60" t="s">
        <v>1754</v>
      </c>
      <c r="P60" t="s">
        <v>1751</v>
      </c>
      <c r="Q60">
        <f t="shared" si="0"/>
        <v>5487.5421686746986</v>
      </c>
    </row>
    <row r="61" spans="1:17" x14ac:dyDescent="0.3">
      <c r="A61" t="s">
        <v>72</v>
      </c>
      <c r="B61" t="s">
        <v>571</v>
      </c>
      <c r="C61">
        <v>14</v>
      </c>
      <c r="D61" t="s">
        <v>892</v>
      </c>
      <c r="E61" t="s">
        <v>897</v>
      </c>
      <c r="F61" t="s">
        <v>901</v>
      </c>
      <c r="G61" t="s">
        <v>924</v>
      </c>
      <c r="H61" t="s">
        <v>1003</v>
      </c>
      <c r="I61" t="s">
        <v>1340</v>
      </c>
      <c r="J61">
        <v>1</v>
      </c>
      <c r="K61" t="s">
        <v>1546</v>
      </c>
      <c r="L61" t="s">
        <v>1733</v>
      </c>
      <c r="M61">
        <v>44247</v>
      </c>
      <c r="N61" t="s">
        <v>1750</v>
      </c>
      <c r="O61" t="s">
        <v>1752</v>
      </c>
      <c r="P61" t="s">
        <v>1751</v>
      </c>
      <c r="Q61">
        <f t="shared" si="0"/>
        <v>533.09638554216872</v>
      </c>
    </row>
    <row r="62" spans="1:17" x14ac:dyDescent="0.3">
      <c r="A62" t="s">
        <v>73</v>
      </c>
      <c r="B62" t="s">
        <v>572</v>
      </c>
      <c r="C62">
        <v>48</v>
      </c>
      <c r="D62" t="s">
        <v>891</v>
      </c>
      <c r="E62" t="s">
        <v>897</v>
      </c>
      <c r="F62" t="s">
        <v>903</v>
      </c>
      <c r="G62" t="s">
        <v>930</v>
      </c>
      <c r="H62" t="s">
        <v>1004</v>
      </c>
      <c r="I62" t="s">
        <v>1341</v>
      </c>
      <c r="J62">
        <v>1</v>
      </c>
      <c r="K62" t="s">
        <v>1547</v>
      </c>
      <c r="L62" t="s">
        <v>1723</v>
      </c>
      <c r="M62">
        <v>6209</v>
      </c>
      <c r="N62" t="s">
        <v>1750</v>
      </c>
      <c r="O62" t="s">
        <v>1752</v>
      </c>
      <c r="P62" t="s">
        <v>1751</v>
      </c>
      <c r="Q62">
        <f t="shared" si="0"/>
        <v>74.807228915662648</v>
      </c>
    </row>
    <row r="63" spans="1:17" x14ac:dyDescent="0.3">
      <c r="A63" t="s">
        <v>74</v>
      </c>
      <c r="B63" t="s">
        <v>573</v>
      </c>
      <c r="C63">
        <v>27</v>
      </c>
      <c r="D63" t="s">
        <v>892</v>
      </c>
      <c r="E63" t="s">
        <v>897</v>
      </c>
      <c r="F63" t="s">
        <v>903</v>
      </c>
      <c r="G63" t="s">
        <v>941</v>
      </c>
      <c r="H63" t="s">
        <v>1005</v>
      </c>
      <c r="I63" t="s">
        <v>1258</v>
      </c>
      <c r="J63">
        <v>1</v>
      </c>
      <c r="K63" t="s">
        <v>1548</v>
      </c>
      <c r="L63" t="s">
        <v>1734</v>
      </c>
      <c r="M63">
        <v>12418</v>
      </c>
      <c r="N63" t="s">
        <v>1751</v>
      </c>
      <c r="O63" t="s">
        <v>1754</v>
      </c>
      <c r="P63" t="s">
        <v>1751</v>
      </c>
      <c r="Q63">
        <f t="shared" si="0"/>
        <v>149.6144578313253</v>
      </c>
    </row>
    <row r="64" spans="1:17" x14ac:dyDescent="0.3">
      <c r="A64" t="s">
        <v>75</v>
      </c>
      <c r="B64" t="s">
        <v>574</v>
      </c>
      <c r="C64">
        <v>57</v>
      </c>
      <c r="D64" t="s">
        <v>891</v>
      </c>
      <c r="E64" t="s">
        <v>895</v>
      </c>
      <c r="F64" t="s">
        <v>905</v>
      </c>
      <c r="G64" t="s">
        <v>918</v>
      </c>
      <c r="H64" t="s">
        <v>1006</v>
      </c>
      <c r="I64" t="s">
        <v>1342</v>
      </c>
      <c r="J64">
        <v>2</v>
      </c>
      <c r="K64" t="s">
        <v>1549</v>
      </c>
      <c r="L64" t="s">
        <v>1729</v>
      </c>
      <c r="M64">
        <v>44320</v>
      </c>
      <c r="N64" t="s">
        <v>1750</v>
      </c>
      <c r="O64" t="s">
        <v>1753</v>
      </c>
      <c r="P64" t="s">
        <v>1751</v>
      </c>
      <c r="Q64">
        <f t="shared" si="0"/>
        <v>533.97590361445782</v>
      </c>
    </row>
    <row r="65" spans="1:17" x14ac:dyDescent="0.3">
      <c r="A65" t="s">
        <v>76</v>
      </c>
      <c r="B65" t="s">
        <v>575</v>
      </c>
      <c r="C65">
        <v>55</v>
      </c>
      <c r="D65" t="s">
        <v>892</v>
      </c>
      <c r="E65" t="s">
        <v>900</v>
      </c>
      <c r="F65" t="s">
        <v>902</v>
      </c>
      <c r="G65" t="s">
        <v>944</v>
      </c>
      <c r="H65" t="s">
        <v>1007</v>
      </c>
      <c r="I65" t="s">
        <v>1343</v>
      </c>
      <c r="J65">
        <v>2</v>
      </c>
      <c r="K65" t="s">
        <v>1550</v>
      </c>
      <c r="L65" t="s">
        <v>1744</v>
      </c>
      <c r="M65">
        <v>29576</v>
      </c>
      <c r="N65" t="s">
        <v>1750</v>
      </c>
      <c r="O65" t="s">
        <v>1754</v>
      </c>
      <c r="P65" t="s">
        <v>1751</v>
      </c>
      <c r="Q65">
        <f t="shared" si="0"/>
        <v>356.33734939759034</v>
      </c>
    </row>
    <row r="66" spans="1:17" x14ac:dyDescent="0.3">
      <c r="A66" t="s">
        <v>77</v>
      </c>
      <c r="B66" t="s">
        <v>576</v>
      </c>
      <c r="C66">
        <v>71</v>
      </c>
      <c r="D66" t="s">
        <v>892</v>
      </c>
      <c r="E66" t="s">
        <v>897</v>
      </c>
      <c r="F66" t="s">
        <v>908</v>
      </c>
      <c r="G66" t="s">
        <v>921</v>
      </c>
      <c r="H66" t="s">
        <v>1008</v>
      </c>
      <c r="I66" t="s">
        <v>967</v>
      </c>
      <c r="J66">
        <v>1</v>
      </c>
      <c r="K66" t="s">
        <v>1551</v>
      </c>
      <c r="L66" t="s">
        <v>1728</v>
      </c>
      <c r="M66">
        <v>48088</v>
      </c>
      <c r="N66" t="s">
        <v>1750</v>
      </c>
      <c r="O66" t="s">
        <v>1755</v>
      </c>
      <c r="P66" t="s">
        <v>1751</v>
      </c>
      <c r="Q66">
        <f t="shared" si="0"/>
        <v>579.37349397590367</v>
      </c>
    </row>
    <row r="67" spans="1:17" x14ac:dyDescent="0.3">
      <c r="A67" t="s">
        <v>78</v>
      </c>
      <c r="B67" t="s">
        <v>577</v>
      </c>
      <c r="C67">
        <v>70</v>
      </c>
      <c r="D67" t="s">
        <v>892</v>
      </c>
      <c r="E67" t="s">
        <v>897</v>
      </c>
      <c r="F67" t="s">
        <v>905</v>
      </c>
      <c r="G67" t="s">
        <v>929</v>
      </c>
      <c r="H67" t="s">
        <v>1009</v>
      </c>
      <c r="I67" t="s">
        <v>1344</v>
      </c>
      <c r="J67">
        <v>12</v>
      </c>
      <c r="K67" t="s">
        <v>1552</v>
      </c>
      <c r="L67" t="s">
        <v>1725</v>
      </c>
      <c r="M67">
        <v>198092</v>
      </c>
      <c r="N67" t="s">
        <v>1751</v>
      </c>
      <c r="O67" t="s">
        <v>1752</v>
      </c>
      <c r="P67" t="s">
        <v>1751</v>
      </c>
      <c r="Q67">
        <f t="shared" si="0"/>
        <v>2386.6506024096384</v>
      </c>
    </row>
    <row r="68" spans="1:17" x14ac:dyDescent="0.3">
      <c r="A68" t="s">
        <v>79</v>
      </c>
      <c r="B68" t="s">
        <v>578</v>
      </c>
      <c r="C68">
        <v>69</v>
      </c>
      <c r="D68" t="s">
        <v>892</v>
      </c>
      <c r="E68" t="s">
        <v>897</v>
      </c>
      <c r="F68" t="s">
        <v>903</v>
      </c>
      <c r="G68" t="s">
        <v>941</v>
      </c>
      <c r="H68" t="s">
        <v>1010</v>
      </c>
      <c r="I68" t="s">
        <v>1076</v>
      </c>
      <c r="J68">
        <v>1</v>
      </c>
      <c r="K68" t="s">
        <v>1553</v>
      </c>
      <c r="L68" t="s">
        <v>1736</v>
      </c>
      <c r="M68">
        <v>21529</v>
      </c>
      <c r="N68" t="s">
        <v>1750</v>
      </c>
      <c r="O68" t="s">
        <v>1754</v>
      </c>
      <c r="P68" t="s">
        <v>1751</v>
      </c>
      <c r="Q68">
        <f t="shared" si="0"/>
        <v>259.3855421686747</v>
      </c>
    </row>
    <row r="69" spans="1:17" x14ac:dyDescent="0.3">
      <c r="A69" t="s">
        <v>80</v>
      </c>
      <c r="B69" t="s">
        <v>579</v>
      </c>
      <c r="C69">
        <v>4</v>
      </c>
      <c r="D69" t="s">
        <v>892</v>
      </c>
      <c r="E69" t="s">
        <v>897</v>
      </c>
      <c r="F69" t="s">
        <v>901</v>
      </c>
      <c r="G69" t="s">
        <v>942</v>
      </c>
      <c r="H69" t="s">
        <v>1011</v>
      </c>
      <c r="I69" t="s">
        <v>1345</v>
      </c>
      <c r="J69">
        <v>1</v>
      </c>
      <c r="K69" t="s">
        <v>1554</v>
      </c>
      <c r="L69" t="s">
        <v>1745</v>
      </c>
      <c r="M69">
        <v>45151</v>
      </c>
      <c r="N69" t="s">
        <v>1751</v>
      </c>
      <c r="O69" t="s">
        <v>1754</v>
      </c>
      <c r="P69" t="s">
        <v>1750</v>
      </c>
      <c r="Q69">
        <f t="shared" ref="Q69:Q132" si="1">M69/83</f>
        <v>543.98795180722891</v>
      </c>
    </row>
    <row r="70" spans="1:17" x14ac:dyDescent="0.3">
      <c r="A70" t="s">
        <v>81</v>
      </c>
      <c r="B70" t="s">
        <v>580</v>
      </c>
      <c r="C70">
        <v>70</v>
      </c>
      <c r="D70" t="s">
        <v>891</v>
      </c>
      <c r="E70" t="s">
        <v>893</v>
      </c>
      <c r="F70" t="s">
        <v>906</v>
      </c>
      <c r="G70" t="s">
        <v>919</v>
      </c>
      <c r="H70" t="s">
        <v>1012</v>
      </c>
      <c r="I70" t="s">
        <v>1240</v>
      </c>
      <c r="J70">
        <v>3</v>
      </c>
      <c r="K70" t="s">
        <v>1555</v>
      </c>
      <c r="L70" t="s">
        <v>1730</v>
      </c>
      <c r="M70">
        <v>35845</v>
      </c>
      <c r="N70" t="s">
        <v>1750</v>
      </c>
      <c r="O70" t="s">
        <v>1754</v>
      </c>
      <c r="P70" t="s">
        <v>1751</v>
      </c>
      <c r="Q70">
        <f t="shared" si="1"/>
        <v>431.86746987951807</v>
      </c>
    </row>
    <row r="71" spans="1:17" x14ac:dyDescent="0.3">
      <c r="A71" t="s">
        <v>82</v>
      </c>
      <c r="B71" t="s">
        <v>525</v>
      </c>
      <c r="C71">
        <v>25</v>
      </c>
      <c r="D71" t="s">
        <v>892</v>
      </c>
      <c r="E71" t="s">
        <v>893</v>
      </c>
      <c r="F71" t="s">
        <v>904</v>
      </c>
      <c r="G71" t="s">
        <v>937</v>
      </c>
      <c r="H71" t="s">
        <v>1013</v>
      </c>
      <c r="I71" t="s">
        <v>1062</v>
      </c>
      <c r="J71">
        <v>1</v>
      </c>
      <c r="K71" t="s">
        <v>1556</v>
      </c>
      <c r="L71" t="s">
        <v>1742</v>
      </c>
      <c r="M71">
        <v>20972</v>
      </c>
      <c r="N71" t="s">
        <v>1750</v>
      </c>
      <c r="O71" t="s">
        <v>1756</v>
      </c>
      <c r="P71" t="s">
        <v>1751</v>
      </c>
      <c r="Q71">
        <f t="shared" si="1"/>
        <v>252.67469879518072</v>
      </c>
    </row>
    <row r="72" spans="1:17" x14ac:dyDescent="0.3">
      <c r="A72" t="s">
        <v>83</v>
      </c>
      <c r="B72" t="s">
        <v>581</v>
      </c>
      <c r="C72">
        <v>78</v>
      </c>
      <c r="D72" t="s">
        <v>891</v>
      </c>
      <c r="E72" t="s">
        <v>897</v>
      </c>
      <c r="F72" t="s">
        <v>907</v>
      </c>
      <c r="G72" t="s">
        <v>945</v>
      </c>
      <c r="H72" t="s">
        <v>1014</v>
      </c>
      <c r="I72" t="s">
        <v>1346</v>
      </c>
      <c r="J72">
        <v>16</v>
      </c>
      <c r="K72" t="s">
        <v>1557</v>
      </c>
      <c r="L72" t="s">
        <v>1727</v>
      </c>
      <c r="M72">
        <v>378446</v>
      </c>
      <c r="N72" t="s">
        <v>1751</v>
      </c>
      <c r="O72" t="s">
        <v>1755</v>
      </c>
      <c r="P72" t="s">
        <v>1751</v>
      </c>
      <c r="Q72">
        <f t="shared" si="1"/>
        <v>4559.5903614457829</v>
      </c>
    </row>
    <row r="73" spans="1:17" x14ac:dyDescent="0.3">
      <c r="A73" t="s">
        <v>84</v>
      </c>
      <c r="B73" t="s">
        <v>582</v>
      </c>
      <c r="C73">
        <v>76</v>
      </c>
      <c r="D73" t="s">
        <v>892</v>
      </c>
      <c r="E73" t="s">
        <v>897</v>
      </c>
      <c r="F73" t="s">
        <v>906</v>
      </c>
      <c r="G73" t="s">
        <v>927</v>
      </c>
      <c r="H73" t="s">
        <v>985</v>
      </c>
      <c r="I73" t="s">
        <v>1347</v>
      </c>
      <c r="J73">
        <v>1</v>
      </c>
      <c r="K73" t="s">
        <v>1558</v>
      </c>
      <c r="L73" t="s">
        <v>1739</v>
      </c>
      <c r="M73">
        <v>18520</v>
      </c>
      <c r="N73" t="s">
        <v>1750</v>
      </c>
      <c r="O73" t="s">
        <v>1754</v>
      </c>
      <c r="P73" t="s">
        <v>1751</v>
      </c>
      <c r="Q73">
        <f t="shared" si="1"/>
        <v>223.13253012048193</v>
      </c>
    </row>
    <row r="74" spans="1:17" x14ac:dyDescent="0.3">
      <c r="A74" t="s">
        <v>85</v>
      </c>
      <c r="B74" t="s">
        <v>583</v>
      </c>
      <c r="C74">
        <v>19</v>
      </c>
      <c r="D74" t="s">
        <v>892</v>
      </c>
      <c r="E74" t="s">
        <v>897</v>
      </c>
      <c r="F74" t="s">
        <v>904</v>
      </c>
      <c r="G74" t="s">
        <v>946</v>
      </c>
      <c r="H74" t="s">
        <v>1015</v>
      </c>
      <c r="I74" t="s">
        <v>1348</v>
      </c>
      <c r="J74">
        <v>13</v>
      </c>
      <c r="K74" t="s">
        <v>1559</v>
      </c>
      <c r="L74" t="s">
        <v>1742</v>
      </c>
      <c r="M74">
        <v>778752</v>
      </c>
      <c r="N74" t="s">
        <v>1750</v>
      </c>
      <c r="O74" t="s">
        <v>1754</v>
      </c>
      <c r="P74" t="s">
        <v>1751</v>
      </c>
      <c r="Q74">
        <f t="shared" si="1"/>
        <v>9382.5542168674692</v>
      </c>
    </row>
    <row r="75" spans="1:17" x14ac:dyDescent="0.3">
      <c r="A75" t="s">
        <v>86</v>
      </c>
      <c r="B75" t="s">
        <v>584</v>
      </c>
      <c r="C75">
        <v>33</v>
      </c>
      <c r="D75" t="s">
        <v>892</v>
      </c>
      <c r="E75" t="s">
        <v>894</v>
      </c>
      <c r="F75" t="s">
        <v>904</v>
      </c>
      <c r="G75" t="s">
        <v>946</v>
      </c>
      <c r="H75" t="s">
        <v>1016</v>
      </c>
      <c r="I75" t="s">
        <v>1170</v>
      </c>
      <c r="J75">
        <v>4</v>
      </c>
      <c r="K75" t="s">
        <v>1560</v>
      </c>
      <c r="L75" t="s">
        <v>1747</v>
      </c>
      <c r="M75">
        <v>251177</v>
      </c>
      <c r="N75" t="s">
        <v>1751</v>
      </c>
      <c r="O75" t="s">
        <v>1754</v>
      </c>
      <c r="P75" t="s">
        <v>1751</v>
      </c>
      <c r="Q75">
        <f t="shared" si="1"/>
        <v>3026.2289156626507</v>
      </c>
    </row>
    <row r="76" spans="1:17" x14ac:dyDescent="0.3">
      <c r="A76" t="s">
        <v>87</v>
      </c>
      <c r="B76" t="s">
        <v>585</v>
      </c>
      <c r="C76">
        <v>26</v>
      </c>
      <c r="D76" t="s">
        <v>892</v>
      </c>
      <c r="E76" t="s">
        <v>894</v>
      </c>
      <c r="F76" t="s">
        <v>906</v>
      </c>
      <c r="G76" t="s">
        <v>919</v>
      </c>
      <c r="H76" t="s">
        <v>986</v>
      </c>
      <c r="I76" t="s">
        <v>1067</v>
      </c>
      <c r="J76">
        <v>1</v>
      </c>
      <c r="K76" t="s">
        <v>1503</v>
      </c>
      <c r="L76" t="s">
        <v>1730</v>
      </c>
      <c r="M76">
        <v>17926</v>
      </c>
      <c r="N76" t="s">
        <v>1751</v>
      </c>
      <c r="O76" t="s">
        <v>1752</v>
      </c>
      <c r="P76" t="s">
        <v>1751</v>
      </c>
      <c r="Q76">
        <f t="shared" si="1"/>
        <v>215.97590361445782</v>
      </c>
    </row>
    <row r="77" spans="1:17" x14ac:dyDescent="0.3">
      <c r="A77" t="s">
        <v>88</v>
      </c>
      <c r="B77" t="s">
        <v>586</v>
      </c>
      <c r="C77">
        <v>59</v>
      </c>
      <c r="D77" t="s">
        <v>891</v>
      </c>
      <c r="E77" t="s">
        <v>897</v>
      </c>
      <c r="F77" t="s">
        <v>903</v>
      </c>
      <c r="G77" t="s">
        <v>930</v>
      </c>
      <c r="H77" t="s">
        <v>1017</v>
      </c>
      <c r="I77" t="s">
        <v>1066</v>
      </c>
      <c r="J77">
        <v>1</v>
      </c>
      <c r="K77" t="s">
        <v>1511</v>
      </c>
      <c r="L77" t="s">
        <v>1736</v>
      </c>
      <c r="M77">
        <v>15496</v>
      </c>
      <c r="N77" t="s">
        <v>1750</v>
      </c>
      <c r="O77" t="s">
        <v>1754</v>
      </c>
      <c r="P77" t="s">
        <v>1751</v>
      </c>
      <c r="Q77">
        <f t="shared" si="1"/>
        <v>186.6987951807229</v>
      </c>
    </row>
    <row r="78" spans="1:17" x14ac:dyDescent="0.3">
      <c r="A78" t="s">
        <v>89</v>
      </c>
      <c r="B78" t="s">
        <v>587</v>
      </c>
      <c r="C78">
        <v>48</v>
      </c>
      <c r="D78" t="s">
        <v>891</v>
      </c>
      <c r="E78" t="s">
        <v>900</v>
      </c>
      <c r="F78" t="s">
        <v>905</v>
      </c>
      <c r="G78" t="s">
        <v>939</v>
      </c>
      <c r="H78" t="s">
        <v>1018</v>
      </c>
      <c r="I78" t="s">
        <v>972</v>
      </c>
      <c r="J78">
        <v>11</v>
      </c>
      <c r="K78" t="s">
        <v>1545</v>
      </c>
      <c r="L78" t="s">
        <v>1725</v>
      </c>
      <c r="M78">
        <v>158503</v>
      </c>
      <c r="N78" t="s">
        <v>1750</v>
      </c>
      <c r="O78" t="s">
        <v>1753</v>
      </c>
      <c r="P78" t="s">
        <v>1751</v>
      </c>
      <c r="Q78">
        <f t="shared" si="1"/>
        <v>1909.6746987951808</v>
      </c>
    </row>
    <row r="79" spans="1:17" x14ac:dyDescent="0.3">
      <c r="A79" t="s">
        <v>90</v>
      </c>
      <c r="B79" t="s">
        <v>548</v>
      </c>
      <c r="C79">
        <v>86</v>
      </c>
      <c r="D79" t="s">
        <v>892</v>
      </c>
      <c r="E79" t="s">
        <v>893</v>
      </c>
      <c r="F79" t="s">
        <v>908</v>
      </c>
      <c r="G79" t="s">
        <v>947</v>
      </c>
      <c r="H79" t="s">
        <v>1019</v>
      </c>
      <c r="I79" t="s">
        <v>1100</v>
      </c>
      <c r="J79">
        <v>7</v>
      </c>
      <c r="K79" t="s">
        <v>1561</v>
      </c>
      <c r="L79" t="s">
        <v>1735</v>
      </c>
      <c r="M79">
        <v>329536</v>
      </c>
      <c r="N79" t="s">
        <v>1751</v>
      </c>
      <c r="O79" t="s">
        <v>1755</v>
      </c>
      <c r="P79" t="s">
        <v>1751</v>
      </c>
      <c r="Q79">
        <f t="shared" si="1"/>
        <v>3970.3132530120483</v>
      </c>
    </row>
    <row r="80" spans="1:17" x14ac:dyDescent="0.3">
      <c r="A80" t="s">
        <v>91</v>
      </c>
      <c r="B80" t="s">
        <v>562</v>
      </c>
      <c r="C80">
        <v>11</v>
      </c>
      <c r="D80" t="s">
        <v>892</v>
      </c>
      <c r="E80" t="s">
        <v>897</v>
      </c>
      <c r="F80" t="s">
        <v>901</v>
      </c>
      <c r="G80" t="s">
        <v>948</v>
      </c>
      <c r="H80" t="s">
        <v>1020</v>
      </c>
      <c r="I80" t="s">
        <v>1222</v>
      </c>
      <c r="J80">
        <v>3</v>
      </c>
      <c r="K80" t="s">
        <v>1546</v>
      </c>
      <c r="L80" t="s">
        <v>1745</v>
      </c>
      <c r="M80">
        <v>111655</v>
      </c>
      <c r="N80" t="s">
        <v>1750</v>
      </c>
      <c r="O80" t="s">
        <v>1752</v>
      </c>
      <c r="P80" t="s">
        <v>1751</v>
      </c>
      <c r="Q80">
        <f t="shared" si="1"/>
        <v>1345.2409638554218</v>
      </c>
    </row>
    <row r="81" spans="1:17" x14ac:dyDescent="0.3">
      <c r="A81" t="s">
        <v>92</v>
      </c>
      <c r="B81" t="s">
        <v>588</v>
      </c>
      <c r="C81">
        <v>46</v>
      </c>
      <c r="D81" t="s">
        <v>891</v>
      </c>
      <c r="E81" t="s">
        <v>894</v>
      </c>
      <c r="F81" t="s">
        <v>903</v>
      </c>
      <c r="G81" t="s">
        <v>912</v>
      </c>
      <c r="H81" t="s">
        <v>1021</v>
      </c>
      <c r="I81" t="s">
        <v>1097</v>
      </c>
      <c r="J81">
        <v>5</v>
      </c>
      <c r="K81" t="s">
        <v>1562</v>
      </c>
      <c r="L81" t="s">
        <v>1748</v>
      </c>
      <c r="M81">
        <v>120476</v>
      </c>
      <c r="N81" t="s">
        <v>1750</v>
      </c>
      <c r="O81" t="s">
        <v>1754</v>
      </c>
      <c r="P81" t="s">
        <v>1751</v>
      </c>
      <c r="Q81">
        <f t="shared" si="1"/>
        <v>1451.5180722891566</v>
      </c>
    </row>
    <row r="82" spans="1:17" x14ac:dyDescent="0.3">
      <c r="A82" t="s">
        <v>93</v>
      </c>
      <c r="B82" t="s">
        <v>589</v>
      </c>
      <c r="C82">
        <v>75</v>
      </c>
      <c r="D82" t="s">
        <v>891</v>
      </c>
      <c r="E82" t="s">
        <v>894</v>
      </c>
      <c r="F82" t="s">
        <v>902</v>
      </c>
      <c r="G82" t="s">
        <v>911</v>
      </c>
      <c r="H82" t="s">
        <v>1022</v>
      </c>
      <c r="I82" t="s">
        <v>1028</v>
      </c>
      <c r="J82">
        <v>1</v>
      </c>
      <c r="K82" t="s">
        <v>1563</v>
      </c>
      <c r="L82" t="s">
        <v>1746</v>
      </c>
      <c r="M82">
        <v>27129</v>
      </c>
      <c r="N82" t="s">
        <v>1751</v>
      </c>
      <c r="O82" t="s">
        <v>1754</v>
      </c>
      <c r="P82" t="s">
        <v>1751</v>
      </c>
      <c r="Q82">
        <f t="shared" si="1"/>
        <v>326.85542168674698</v>
      </c>
    </row>
    <row r="83" spans="1:17" x14ac:dyDescent="0.3">
      <c r="A83" t="s">
        <v>94</v>
      </c>
      <c r="B83" t="s">
        <v>590</v>
      </c>
      <c r="C83">
        <v>79</v>
      </c>
      <c r="D83" t="s">
        <v>892</v>
      </c>
      <c r="E83" t="s">
        <v>893</v>
      </c>
      <c r="F83" t="s">
        <v>903</v>
      </c>
      <c r="G83" t="s">
        <v>912</v>
      </c>
      <c r="H83" t="s">
        <v>1023</v>
      </c>
      <c r="I83" t="s">
        <v>1307</v>
      </c>
      <c r="J83">
        <v>1</v>
      </c>
      <c r="K83" t="s">
        <v>1564</v>
      </c>
      <c r="L83" t="s">
        <v>1748</v>
      </c>
      <c r="M83">
        <v>14849</v>
      </c>
      <c r="N83" t="s">
        <v>1751</v>
      </c>
      <c r="O83" t="s">
        <v>1755</v>
      </c>
      <c r="P83" t="s">
        <v>1751</v>
      </c>
      <c r="Q83">
        <f t="shared" si="1"/>
        <v>178.90361445783134</v>
      </c>
    </row>
    <row r="84" spans="1:17" x14ac:dyDescent="0.3">
      <c r="A84" t="s">
        <v>95</v>
      </c>
      <c r="B84" t="s">
        <v>591</v>
      </c>
      <c r="C84">
        <v>31</v>
      </c>
      <c r="D84" t="s">
        <v>891</v>
      </c>
      <c r="E84" t="s">
        <v>894</v>
      </c>
      <c r="F84" t="s">
        <v>907</v>
      </c>
      <c r="G84" t="s">
        <v>931</v>
      </c>
      <c r="H84" t="s">
        <v>1024</v>
      </c>
      <c r="I84" t="s">
        <v>1026</v>
      </c>
      <c r="J84">
        <v>1</v>
      </c>
      <c r="K84" t="s">
        <v>1565</v>
      </c>
      <c r="L84" t="s">
        <v>1727</v>
      </c>
      <c r="M84">
        <v>31843</v>
      </c>
      <c r="N84" t="s">
        <v>1750</v>
      </c>
      <c r="O84" t="s">
        <v>1753</v>
      </c>
      <c r="P84" t="s">
        <v>1751</v>
      </c>
      <c r="Q84">
        <f t="shared" si="1"/>
        <v>383.65060240963857</v>
      </c>
    </row>
    <row r="85" spans="1:17" x14ac:dyDescent="0.3">
      <c r="A85" t="s">
        <v>96</v>
      </c>
      <c r="B85" t="s">
        <v>592</v>
      </c>
      <c r="C85">
        <v>46</v>
      </c>
      <c r="D85" t="s">
        <v>892</v>
      </c>
      <c r="E85" t="s">
        <v>893</v>
      </c>
      <c r="F85" t="s">
        <v>909</v>
      </c>
      <c r="G85" t="s">
        <v>920</v>
      </c>
      <c r="H85" t="s">
        <v>1025</v>
      </c>
      <c r="I85" t="s">
        <v>1349</v>
      </c>
      <c r="J85">
        <v>3</v>
      </c>
      <c r="K85" t="s">
        <v>1566</v>
      </c>
      <c r="L85" t="s">
        <v>1741</v>
      </c>
      <c r="M85">
        <v>106278</v>
      </c>
      <c r="N85" t="s">
        <v>1751</v>
      </c>
      <c r="O85" t="s">
        <v>1753</v>
      </c>
      <c r="P85" t="s">
        <v>1751</v>
      </c>
      <c r="Q85">
        <f t="shared" si="1"/>
        <v>1280.4578313253012</v>
      </c>
    </row>
    <row r="86" spans="1:17" x14ac:dyDescent="0.3">
      <c r="A86" t="s">
        <v>97</v>
      </c>
      <c r="B86" t="s">
        <v>542</v>
      </c>
      <c r="C86">
        <v>48</v>
      </c>
      <c r="D86" t="s">
        <v>891</v>
      </c>
      <c r="E86" t="s">
        <v>894</v>
      </c>
      <c r="F86" t="s">
        <v>909</v>
      </c>
      <c r="G86" t="s">
        <v>920</v>
      </c>
      <c r="H86" t="s">
        <v>1026</v>
      </c>
      <c r="I86" t="s">
        <v>1350</v>
      </c>
      <c r="J86">
        <v>1</v>
      </c>
      <c r="K86" t="s">
        <v>1567</v>
      </c>
      <c r="L86" t="s">
        <v>1731</v>
      </c>
      <c r="M86">
        <v>30470</v>
      </c>
      <c r="N86" t="s">
        <v>1750</v>
      </c>
      <c r="O86" t="s">
        <v>1756</v>
      </c>
      <c r="P86" t="s">
        <v>1751</v>
      </c>
      <c r="Q86">
        <f t="shared" si="1"/>
        <v>367.10843373493975</v>
      </c>
    </row>
    <row r="87" spans="1:17" x14ac:dyDescent="0.3">
      <c r="A87" t="s">
        <v>98</v>
      </c>
      <c r="B87" t="s">
        <v>593</v>
      </c>
      <c r="C87">
        <v>53</v>
      </c>
      <c r="D87" t="s">
        <v>891</v>
      </c>
      <c r="E87" t="s">
        <v>894</v>
      </c>
      <c r="F87" t="s">
        <v>909</v>
      </c>
      <c r="G87" t="s">
        <v>922</v>
      </c>
      <c r="H87" t="s">
        <v>1027</v>
      </c>
      <c r="I87" t="s">
        <v>1351</v>
      </c>
      <c r="J87">
        <v>1</v>
      </c>
      <c r="K87" t="s">
        <v>1568</v>
      </c>
      <c r="L87" t="s">
        <v>1732</v>
      </c>
      <c r="M87">
        <v>19238</v>
      </c>
      <c r="N87" t="s">
        <v>1750</v>
      </c>
      <c r="O87" t="s">
        <v>1752</v>
      </c>
      <c r="P87" t="s">
        <v>1751</v>
      </c>
      <c r="Q87">
        <f t="shared" si="1"/>
        <v>231.78313253012047</v>
      </c>
    </row>
    <row r="88" spans="1:17" x14ac:dyDescent="0.3">
      <c r="A88" t="s">
        <v>99</v>
      </c>
      <c r="B88" t="s">
        <v>594</v>
      </c>
      <c r="C88">
        <v>76</v>
      </c>
      <c r="D88" t="s">
        <v>892</v>
      </c>
      <c r="E88" t="s">
        <v>897</v>
      </c>
      <c r="F88" t="s">
        <v>903</v>
      </c>
      <c r="G88" t="s">
        <v>912</v>
      </c>
      <c r="H88" t="s">
        <v>1028</v>
      </c>
      <c r="I88" t="s">
        <v>1352</v>
      </c>
      <c r="J88">
        <v>1</v>
      </c>
      <c r="K88" t="s">
        <v>1569</v>
      </c>
      <c r="L88" t="s">
        <v>1736</v>
      </c>
      <c r="M88">
        <v>10700</v>
      </c>
      <c r="N88" t="s">
        <v>1750</v>
      </c>
      <c r="O88" t="s">
        <v>1754</v>
      </c>
      <c r="P88" t="s">
        <v>1750</v>
      </c>
      <c r="Q88">
        <f t="shared" si="1"/>
        <v>128.9156626506024</v>
      </c>
    </row>
    <row r="89" spans="1:17" x14ac:dyDescent="0.3">
      <c r="A89" t="s">
        <v>100</v>
      </c>
      <c r="B89" t="s">
        <v>595</v>
      </c>
      <c r="C89">
        <v>45</v>
      </c>
      <c r="D89" t="s">
        <v>891</v>
      </c>
      <c r="E89" t="s">
        <v>899</v>
      </c>
      <c r="F89" t="s">
        <v>905</v>
      </c>
      <c r="G89" t="s">
        <v>939</v>
      </c>
      <c r="H89" t="s">
        <v>1029</v>
      </c>
      <c r="I89" t="s">
        <v>986</v>
      </c>
      <c r="J89">
        <v>2</v>
      </c>
      <c r="K89" t="s">
        <v>1570</v>
      </c>
      <c r="L89" t="s">
        <v>1729</v>
      </c>
      <c r="M89">
        <v>69427</v>
      </c>
      <c r="N89" t="s">
        <v>1750</v>
      </c>
      <c r="O89" t="s">
        <v>1754</v>
      </c>
      <c r="P89" t="s">
        <v>1751</v>
      </c>
      <c r="Q89">
        <f t="shared" si="1"/>
        <v>836.46987951807228</v>
      </c>
    </row>
    <row r="90" spans="1:17" x14ac:dyDescent="0.3">
      <c r="A90" t="s">
        <v>101</v>
      </c>
      <c r="B90" t="s">
        <v>596</v>
      </c>
      <c r="C90">
        <v>81</v>
      </c>
      <c r="D90" t="s">
        <v>891</v>
      </c>
      <c r="E90" t="s">
        <v>893</v>
      </c>
      <c r="F90" t="s">
        <v>908</v>
      </c>
      <c r="G90" t="s">
        <v>947</v>
      </c>
      <c r="H90" t="s">
        <v>1030</v>
      </c>
      <c r="I90" t="s">
        <v>1353</v>
      </c>
      <c r="J90">
        <v>2</v>
      </c>
      <c r="K90" t="s">
        <v>1514</v>
      </c>
      <c r="L90" t="s">
        <v>1728</v>
      </c>
      <c r="M90">
        <v>82607</v>
      </c>
      <c r="N90" t="s">
        <v>1751</v>
      </c>
      <c r="O90" t="s">
        <v>1754</v>
      </c>
      <c r="P90" t="s">
        <v>1751</v>
      </c>
      <c r="Q90">
        <f t="shared" si="1"/>
        <v>995.26506024096386</v>
      </c>
    </row>
    <row r="91" spans="1:17" x14ac:dyDescent="0.3">
      <c r="A91" t="s">
        <v>102</v>
      </c>
      <c r="B91" t="s">
        <v>597</v>
      </c>
      <c r="C91">
        <v>41</v>
      </c>
      <c r="D91" t="s">
        <v>892</v>
      </c>
      <c r="E91" t="s">
        <v>897</v>
      </c>
      <c r="F91" t="s">
        <v>904</v>
      </c>
      <c r="G91" t="s">
        <v>934</v>
      </c>
      <c r="H91" t="s">
        <v>1031</v>
      </c>
      <c r="I91" t="s">
        <v>1354</v>
      </c>
      <c r="J91">
        <v>3</v>
      </c>
      <c r="K91" t="s">
        <v>1571</v>
      </c>
      <c r="L91" t="s">
        <v>1747</v>
      </c>
      <c r="M91">
        <v>142512</v>
      </c>
      <c r="N91" t="s">
        <v>1751</v>
      </c>
      <c r="O91" t="s">
        <v>1756</v>
      </c>
      <c r="P91" t="s">
        <v>1751</v>
      </c>
      <c r="Q91">
        <f t="shared" si="1"/>
        <v>1717.0120481927711</v>
      </c>
    </row>
    <row r="92" spans="1:17" x14ac:dyDescent="0.3">
      <c r="A92" t="s">
        <v>103</v>
      </c>
      <c r="B92" t="s">
        <v>598</v>
      </c>
      <c r="C92">
        <v>21</v>
      </c>
      <c r="D92" t="s">
        <v>891</v>
      </c>
      <c r="E92" t="s">
        <v>894</v>
      </c>
      <c r="F92" t="s">
        <v>906</v>
      </c>
      <c r="G92" t="s">
        <v>943</v>
      </c>
      <c r="H92" t="s">
        <v>1032</v>
      </c>
      <c r="I92" t="s">
        <v>1277</v>
      </c>
      <c r="J92">
        <v>5</v>
      </c>
      <c r="K92" t="s">
        <v>1528</v>
      </c>
      <c r="L92" t="s">
        <v>1739</v>
      </c>
      <c r="M92">
        <v>135281</v>
      </c>
      <c r="N92" t="s">
        <v>1750</v>
      </c>
      <c r="O92" t="s">
        <v>1754</v>
      </c>
      <c r="P92" t="s">
        <v>1751</v>
      </c>
      <c r="Q92">
        <f t="shared" si="1"/>
        <v>1629.8915662650602</v>
      </c>
    </row>
    <row r="93" spans="1:17" x14ac:dyDescent="0.3">
      <c r="A93" t="s">
        <v>104</v>
      </c>
      <c r="B93" t="s">
        <v>599</v>
      </c>
      <c r="C93">
        <v>52</v>
      </c>
      <c r="D93" t="s">
        <v>891</v>
      </c>
      <c r="E93" t="s">
        <v>897</v>
      </c>
      <c r="F93" t="s">
        <v>908</v>
      </c>
      <c r="G93" t="s">
        <v>947</v>
      </c>
      <c r="H93" t="s">
        <v>1033</v>
      </c>
      <c r="I93" t="s">
        <v>998</v>
      </c>
      <c r="J93">
        <v>13</v>
      </c>
      <c r="K93" t="s">
        <v>1572</v>
      </c>
      <c r="L93" t="s">
        <v>1737</v>
      </c>
      <c r="M93">
        <v>752908</v>
      </c>
      <c r="N93" t="s">
        <v>1751</v>
      </c>
      <c r="O93" t="s">
        <v>1752</v>
      </c>
      <c r="P93" t="s">
        <v>1751</v>
      </c>
      <c r="Q93">
        <f t="shared" si="1"/>
        <v>9071.1807228915659</v>
      </c>
    </row>
    <row r="94" spans="1:17" x14ac:dyDescent="0.3">
      <c r="A94" t="s">
        <v>105</v>
      </c>
      <c r="B94" t="s">
        <v>600</v>
      </c>
      <c r="C94">
        <v>21</v>
      </c>
      <c r="D94" t="s">
        <v>892</v>
      </c>
      <c r="E94" t="s">
        <v>894</v>
      </c>
      <c r="F94" t="s">
        <v>904</v>
      </c>
      <c r="G94" t="s">
        <v>913</v>
      </c>
      <c r="H94" t="s">
        <v>1034</v>
      </c>
      <c r="I94" t="s">
        <v>1254</v>
      </c>
      <c r="J94">
        <v>1</v>
      </c>
      <c r="K94" t="s">
        <v>1573</v>
      </c>
      <c r="L94" t="s">
        <v>1724</v>
      </c>
      <c r="M94">
        <v>56509</v>
      </c>
      <c r="N94" t="s">
        <v>1751</v>
      </c>
      <c r="O94" t="s">
        <v>1754</v>
      </c>
      <c r="P94" t="s">
        <v>1751</v>
      </c>
      <c r="Q94">
        <f t="shared" si="1"/>
        <v>680.83132530120486</v>
      </c>
    </row>
    <row r="95" spans="1:17" x14ac:dyDescent="0.3">
      <c r="A95" t="s">
        <v>106</v>
      </c>
      <c r="B95" t="s">
        <v>601</v>
      </c>
      <c r="C95">
        <v>21</v>
      </c>
      <c r="D95" t="s">
        <v>892</v>
      </c>
      <c r="E95" t="s">
        <v>894</v>
      </c>
      <c r="F95" t="s">
        <v>904</v>
      </c>
      <c r="G95" t="s">
        <v>937</v>
      </c>
      <c r="H95" t="s">
        <v>1035</v>
      </c>
      <c r="I95" t="s">
        <v>1323</v>
      </c>
      <c r="J95">
        <v>1</v>
      </c>
      <c r="K95" t="s">
        <v>1530</v>
      </c>
      <c r="L95" t="s">
        <v>1724</v>
      </c>
      <c r="M95">
        <v>35642</v>
      </c>
      <c r="N95" t="s">
        <v>1751</v>
      </c>
      <c r="O95" t="s">
        <v>1753</v>
      </c>
      <c r="P95" t="s">
        <v>1751</v>
      </c>
      <c r="Q95">
        <f t="shared" si="1"/>
        <v>429.42168674698797</v>
      </c>
    </row>
    <row r="96" spans="1:17" x14ac:dyDescent="0.3">
      <c r="A96" t="s">
        <v>107</v>
      </c>
      <c r="B96" t="s">
        <v>602</v>
      </c>
      <c r="C96">
        <v>30</v>
      </c>
      <c r="D96" t="s">
        <v>892</v>
      </c>
      <c r="E96" t="s">
        <v>900</v>
      </c>
      <c r="F96" t="s">
        <v>905</v>
      </c>
      <c r="G96" t="s">
        <v>918</v>
      </c>
      <c r="H96" t="s">
        <v>1036</v>
      </c>
      <c r="I96" t="s">
        <v>1320</v>
      </c>
      <c r="J96">
        <v>8</v>
      </c>
      <c r="K96" t="s">
        <v>1574</v>
      </c>
      <c r="L96" t="s">
        <v>1725</v>
      </c>
      <c r="M96">
        <v>212398</v>
      </c>
      <c r="N96" t="s">
        <v>1750</v>
      </c>
      <c r="O96" t="s">
        <v>1756</v>
      </c>
      <c r="P96" t="s">
        <v>1751</v>
      </c>
      <c r="Q96">
        <f t="shared" si="1"/>
        <v>2559.0120481927711</v>
      </c>
    </row>
    <row r="97" spans="1:17" x14ac:dyDescent="0.3">
      <c r="A97" t="s">
        <v>108</v>
      </c>
      <c r="B97" t="s">
        <v>603</v>
      </c>
      <c r="C97">
        <v>55</v>
      </c>
      <c r="D97" t="s">
        <v>892</v>
      </c>
      <c r="E97" t="s">
        <v>893</v>
      </c>
      <c r="F97" t="s">
        <v>902</v>
      </c>
      <c r="G97" t="s">
        <v>923</v>
      </c>
      <c r="H97" t="s">
        <v>1037</v>
      </c>
      <c r="I97" t="s">
        <v>1188</v>
      </c>
      <c r="J97">
        <v>7</v>
      </c>
      <c r="K97" t="s">
        <v>1513</v>
      </c>
      <c r="L97" t="s">
        <v>1744</v>
      </c>
      <c r="M97">
        <v>256220</v>
      </c>
      <c r="N97" t="s">
        <v>1750</v>
      </c>
      <c r="O97" t="s">
        <v>1755</v>
      </c>
      <c r="P97" t="s">
        <v>1750</v>
      </c>
      <c r="Q97">
        <f t="shared" si="1"/>
        <v>3086.9879518072289</v>
      </c>
    </row>
    <row r="98" spans="1:17" x14ac:dyDescent="0.3">
      <c r="A98" t="s">
        <v>109</v>
      </c>
      <c r="B98" t="s">
        <v>604</v>
      </c>
      <c r="C98">
        <v>17</v>
      </c>
      <c r="D98" t="s">
        <v>892</v>
      </c>
      <c r="E98" t="s">
        <v>898</v>
      </c>
      <c r="F98" t="s">
        <v>901</v>
      </c>
      <c r="G98" t="s">
        <v>948</v>
      </c>
      <c r="H98" t="s">
        <v>1038</v>
      </c>
      <c r="I98" t="s">
        <v>982</v>
      </c>
      <c r="J98">
        <v>2</v>
      </c>
      <c r="K98" t="s">
        <v>1540</v>
      </c>
      <c r="L98" t="s">
        <v>1745</v>
      </c>
      <c r="M98">
        <v>94517</v>
      </c>
      <c r="N98" t="s">
        <v>1751</v>
      </c>
      <c r="O98" t="s">
        <v>1753</v>
      </c>
      <c r="P98" t="s">
        <v>1750</v>
      </c>
      <c r="Q98">
        <f t="shared" si="1"/>
        <v>1138.7590361445782</v>
      </c>
    </row>
    <row r="99" spans="1:17" x14ac:dyDescent="0.3">
      <c r="A99" t="s">
        <v>110</v>
      </c>
      <c r="B99" t="s">
        <v>605</v>
      </c>
      <c r="C99">
        <v>67</v>
      </c>
      <c r="D99" t="s">
        <v>892</v>
      </c>
      <c r="E99" t="s">
        <v>897</v>
      </c>
      <c r="F99" t="s">
        <v>902</v>
      </c>
      <c r="G99" t="s">
        <v>949</v>
      </c>
      <c r="H99" t="s">
        <v>1039</v>
      </c>
      <c r="I99" t="s">
        <v>1355</v>
      </c>
      <c r="J99">
        <v>7</v>
      </c>
      <c r="K99" t="s">
        <v>1575</v>
      </c>
      <c r="L99" t="s">
        <v>1722</v>
      </c>
      <c r="M99">
        <v>122067</v>
      </c>
      <c r="N99" t="s">
        <v>1751</v>
      </c>
      <c r="O99" t="s">
        <v>1754</v>
      </c>
      <c r="P99" t="s">
        <v>1751</v>
      </c>
      <c r="Q99">
        <f t="shared" si="1"/>
        <v>1470.6867469879519</v>
      </c>
    </row>
    <row r="100" spans="1:17" x14ac:dyDescent="0.3">
      <c r="A100" t="s">
        <v>111</v>
      </c>
      <c r="B100" t="s">
        <v>606</v>
      </c>
      <c r="C100">
        <v>55</v>
      </c>
      <c r="D100" t="s">
        <v>892</v>
      </c>
      <c r="E100" t="s">
        <v>894</v>
      </c>
      <c r="F100" t="s">
        <v>907</v>
      </c>
      <c r="G100" t="s">
        <v>938</v>
      </c>
      <c r="H100" t="s">
        <v>1040</v>
      </c>
      <c r="I100" t="s">
        <v>1126</v>
      </c>
      <c r="J100">
        <v>6</v>
      </c>
      <c r="K100" t="s">
        <v>1576</v>
      </c>
      <c r="L100" t="s">
        <v>1727</v>
      </c>
      <c r="M100">
        <v>226549</v>
      </c>
      <c r="N100" t="s">
        <v>1750</v>
      </c>
      <c r="O100" t="s">
        <v>1754</v>
      </c>
      <c r="P100" t="s">
        <v>1750</v>
      </c>
      <c r="Q100">
        <f t="shared" si="1"/>
        <v>2729.5060240963853</v>
      </c>
    </row>
    <row r="101" spans="1:17" x14ac:dyDescent="0.3">
      <c r="A101" t="s">
        <v>112</v>
      </c>
      <c r="B101" t="s">
        <v>607</v>
      </c>
      <c r="C101">
        <v>74</v>
      </c>
      <c r="D101" t="s">
        <v>891</v>
      </c>
      <c r="E101" t="s">
        <v>893</v>
      </c>
      <c r="F101" t="s">
        <v>909</v>
      </c>
      <c r="G101" t="s">
        <v>935</v>
      </c>
      <c r="H101" t="s">
        <v>1041</v>
      </c>
      <c r="I101" t="s">
        <v>1356</v>
      </c>
      <c r="J101">
        <v>1</v>
      </c>
      <c r="K101" t="s">
        <v>1577</v>
      </c>
      <c r="L101" t="s">
        <v>1732</v>
      </c>
      <c r="M101">
        <v>19127</v>
      </c>
      <c r="N101" t="s">
        <v>1751</v>
      </c>
      <c r="O101" t="s">
        <v>1754</v>
      </c>
      <c r="P101" t="s">
        <v>1751</v>
      </c>
      <c r="Q101">
        <f t="shared" si="1"/>
        <v>230.44578313253012</v>
      </c>
    </row>
    <row r="102" spans="1:17" x14ac:dyDescent="0.3">
      <c r="A102" t="s">
        <v>113</v>
      </c>
      <c r="B102" t="s">
        <v>608</v>
      </c>
      <c r="C102">
        <v>88</v>
      </c>
      <c r="D102" t="s">
        <v>892</v>
      </c>
      <c r="E102" t="s">
        <v>894</v>
      </c>
      <c r="F102" t="s">
        <v>902</v>
      </c>
      <c r="G102" t="s">
        <v>949</v>
      </c>
      <c r="H102" t="s">
        <v>1042</v>
      </c>
      <c r="I102" t="s">
        <v>1066</v>
      </c>
      <c r="J102">
        <v>2</v>
      </c>
      <c r="K102" t="s">
        <v>1578</v>
      </c>
      <c r="L102" t="s">
        <v>1746</v>
      </c>
      <c r="M102">
        <v>41435</v>
      </c>
      <c r="N102" t="s">
        <v>1750</v>
      </c>
      <c r="O102" t="s">
        <v>1754</v>
      </c>
      <c r="P102" t="s">
        <v>1751</v>
      </c>
      <c r="Q102">
        <f t="shared" si="1"/>
        <v>499.2168674698795</v>
      </c>
    </row>
    <row r="103" spans="1:17" x14ac:dyDescent="0.3">
      <c r="A103" t="s">
        <v>114</v>
      </c>
      <c r="B103" t="s">
        <v>609</v>
      </c>
      <c r="C103">
        <v>61</v>
      </c>
      <c r="D103" t="s">
        <v>892</v>
      </c>
      <c r="E103" t="s">
        <v>900</v>
      </c>
      <c r="F103" t="s">
        <v>902</v>
      </c>
      <c r="G103" t="s">
        <v>944</v>
      </c>
      <c r="H103" t="s">
        <v>1043</v>
      </c>
      <c r="I103" t="s">
        <v>1357</v>
      </c>
      <c r="J103">
        <v>1</v>
      </c>
      <c r="K103" t="s">
        <v>1579</v>
      </c>
      <c r="L103" t="s">
        <v>1744</v>
      </c>
      <c r="M103">
        <v>37922</v>
      </c>
      <c r="N103" t="s">
        <v>1751</v>
      </c>
      <c r="O103" t="s">
        <v>1756</v>
      </c>
      <c r="P103" t="s">
        <v>1751</v>
      </c>
      <c r="Q103">
        <f t="shared" si="1"/>
        <v>456.89156626506025</v>
      </c>
    </row>
    <row r="104" spans="1:17" x14ac:dyDescent="0.3">
      <c r="A104" t="s">
        <v>115</v>
      </c>
      <c r="B104" t="s">
        <v>610</v>
      </c>
      <c r="C104">
        <v>63</v>
      </c>
      <c r="D104" t="s">
        <v>892</v>
      </c>
      <c r="E104" t="s">
        <v>897</v>
      </c>
      <c r="F104" t="s">
        <v>902</v>
      </c>
      <c r="G104" t="s">
        <v>944</v>
      </c>
      <c r="H104" t="s">
        <v>1044</v>
      </c>
      <c r="I104" t="s">
        <v>1358</v>
      </c>
      <c r="J104">
        <v>1</v>
      </c>
      <c r="K104" t="s">
        <v>1580</v>
      </c>
      <c r="L104" t="s">
        <v>1722</v>
      </c>
      <c r="M104">
        <v>40186</v>
      </c>
      <c r="N104" t="s">
        <v>1750</v>
      </c>
      <c r="O104" t="s">
        <v>1752</v>
      </c>
      <c r="P104" t="s">
        <v>1751</v>
      </c>
      <c r="Q104">
        <f t="shared" si="1"/>
        <v>484.1686746987952</v>
      </c>
    </row>
    <row r="105" spans="1:17" x14ac:dyDescent="0.3">
      <c r="A105" t="s">
        <v>116</v>
      </c>
      <c r="B105" t="s">
        <v>611</v>
      </c>
      <c r="C105">
        <v>63</v>
      </c>
      <c r="D105" t="s">
        <v>891</v>
      </c>
      <c r="E105" t="s">
        <v>897</v>
      </c>
      <c r="F105" t="s">
        <v>907</v>
      </c>
      <c r="G105" t="s">
        <v>938</v>
      </c>
      <c r="H105" t="s">
        <v>1045</v>
      </c>
      <c r="I105" t="s">
        <v>978</v>
      </c>
      <c r="J105">
        <v>1</v>
      </c>
      <c r="K105" t="s">
        <v>1581</v>
      </c>
      <c r="L105" t="s">
        <v>1743</v>
      </c>
      <c r="M105">
        <v>26971</v>
      </c>
      <c r="N105" t="s">
        <v>1750</v>
      </c>
      <c r="O105" t="s">
        <v>1754</v>
      </c>
      <c r="P105" t="s">
        <v>1750</v>
      </c>
      <c r="Q105">
        <f t="shared" si="1"/>
        <v>324.95180722891564</v>
      </c>
    </row>
    <row r="106" spans="1:17" x14ac:dyDescent="0.3">
      <c r="A106" t="s">
        <v>117</v>
      </c>
      <c r="B106" t="s">
        <v>612</v>
      </c>
      <c r="C106">
        <v>77</v>
      </c>
      <c r="D106" t="s">
        <v>891</v>
      </c>
      <c r="E106" t="s">
        <v>894</v>
      </c>
      <c r="F106" t="s">
        <v>907</v>
      </c>
      <c r="G106" t="s">
        <v>938</v>
      </c>
      <c r="H106" t="s">
        <v>1046</v>
      </c>
      <c r="I106" t="s">
        <v>1092</v>
      </c>
      <c r="J106">
        <v>10</v>
      </c>
      <c r="K106" t="s">
        <v>1582</v>
      </c>
      <c r="L106" t="s">
        <v>1727</v>
      </c>
      <c r="M106">
        <v>411992</v>
      </c>
      <c r="N106" t="s">
        <v>1750</v>
      </c>
      <c r="O106" t="s">
        <v>1756</v>
      </c>
      <c r="P106" t="s">
        <v>1750</v>
      </c>
      <c r="Q106">
        <f t="shared" si="1"/>
        <v>4963.7590361445782</v>
      </c>
    </row>
    <row r="107" spans="1:17" x14ac:dyDescent="0.3">
      <c r="A107" t="s">
        <v>118</v>
      </c>
      <c r="B107" t="s">
        <v>613</v>
      </c>
      <c r="C107">
        <v>43</v>
      </c>
      <c r="D107" t="s">
        <v>892</v>
      </c>
      <c r="E107" t="s">
        <v>894</v>
      </c>
      <c r="F107" t="s">
        <v>905</v>
      </c>
      <c r="G107" t="s">
        <v>929</v>
      </c>
      <c r="H107" t="s">
        <v>1004</v>
      </c>
      <c r="I107" t="s">
        <v>1211</v>
      </c>
      <c r="J107">
        <v>2</v>
      </c>
      <c r="K107" t="s">
        <v>1545</v>
      </c>
      <c r="L107" t="s">
        <v>1725</v>
      </c>
      <c r="M107">
        <v>68367</v>
      </c>
      <c r="N107" t="s">
        <v>1751</v>
      </c>
      <c r="O107" t="s">
        <v>1754</v>
      </c>
      <c r="P107" t="s">
        <v>1751</v>
      </c>
      <c r="Q107">
        <f t="shared" si="1"/>
        <v>823.69879518072287</v>
      </c>
    </row>
    <row r="108" spans="1:17" x14ac:dyDescent="0.3">
      <c r="A108" t="s">
        <v>119</v>
      </c>
      <c r="B108" t="s">
        <v>614</v>
      </c>
      <c r="C108">
        <v>58</v>
      </c>
      <c r="D108" t="s">
        <v>892</v>
      </c>
      <c r="E108" t="s">
        <v>897</v>
      </c>
      <c r="F108" t="s">
        <v>909</v>
      </c>
      <c r="G108" t="s">
        <v>922</v>
      </c>
      <c r="H108" t="s">
        <v>1047</v>
      </c>
      <c r="I108" t="s">
        <v>1002</v>
      </c>
      <c r="J108">
        <v>1</v>
      </c>
      <c r="K108" t="s">
        <v>1583</v>
      </c>
      <c r="L108" t="s">
        <v>1741</v>
      </c>
      <c r="M108">
        <v>9475</v>
      </c>
      <c r="N108" t="s">
        <v>1750</v>
      </c>
      <c r="O108" t="s">
        <v>1756</v>
      </c>
      <c r="P108" t="s">
        <v>1751</v>
      </c>
      <c r="Q108">
        <f t="shared" si="1"/>
        <v>114.1566265060241</v>
      </c>
    </row>
    <row r="109" spans="1:17" x14ac:dyDescent="0.3">
      <c r="A109" t="s">
        <v>120</v>
      </c>
      <c r="B109" t="s">
        <v>589</v>
      </c>
      <c r="C109">
        <v>65</v>
      </c>
      <c r="D109" t="s">
        <v>891</v>
      </c>
      <c r="E109" t="s">
        <v>897</v>
      </c>
      <c r="F109" t="s">
        <v>909</v>
      </c>
      <c r="G109" t="s">
        <v>920</v>
      </c>
      <c r="H109" t="s">
        <v>1048</v>
      </c>
      <c r="I109" t="s">
        <v>1212</v>
      </c>
      <c r="J109">
        <v>4</v>
      </c>
      <c r="K109" t="s">
        <v>1566</v>
      </c>
      <c r="L109" t="s">
        <v>1731</v>
      </c>
      <c r="M109">
        <v>43670</v>
      </c>
      <c r="N109" t="s">
        <v>1750</v>
      </c>
      <c r="O109" t="s">
        <v>1756</v>
      </c>
      <c r="P109" t="s">
        <v>1751</v>
      </c>
      <c r="Q109">
        <f t="shared" si="1"/>
        <v>526.14457831325296</v>
      </c>
    </row>
    <row r="110" spans="1:17" x14ac:dyDescent="0.3">
      <c r="A110" t="s">
        <v>121</v>
      </c>
      <c r="B110" t="s">
        <v>615</v>
      </c>
      <c r="C110">
        <v>15</v>
      </c>
      <c r="D110" t="s">
        <v>891</v>
      </c>
      <c r="E110" t="s">
        <v>894</v>
      </c>
      <c r="F110" t="s">
        <v>901</v>
      </c>
      <c r="G110" t="s">
        <v>942</v>
      </c>
      <c r="H110" t="s">
        <v>1049</v>
      </c>
      <c r="I110" t="s">
        <v>1056</v>
      </c>
      <c r="J110">
        <v>1</v>
      </c>
      <c r="K110" t="s">
        <v>1584</v>
      </c>
      <c r="L110" t="s">
        <v>1745</v>
      </c>
      <c r="M110">
        <v>48510</v>
      </c>
      <c r="N110" t="s">
        <v>1750</v>
      </c>
      <c r="O110" t="s">
        <v>1754</v>
      </c>
      <c r="P110" t="s">
        <v>1751</v>
      </c>
      <c r="Q110">
        <f t="shared" si="1"/>
        <v>584.45783132530119</v>
      </c>
    </row>
    <row r="111" spans="1:17" x14ac:dyDescent="0.3">
      <c r="A111" t="s">
        <v>122</v>
      </c>
      <c r="B111" t="s">
        <v>616</v>
      </c>
      <c r="C111">
        <v>62</v>
      </c>
      <c r="D111" t="s">
        <v>891</v>
      </c>
      <c r="E111" t="s">
        <v>898</v>
      </c>
      <c r="F111" t="s">
        <v>902</v>
      </c>
      <c r="G111" t="s">
        <v>949</v>
      </c>
      <c r="H111" t="s">
        <v>1050</v>
      </c>
      <c r="I111" t="s">
        <v>1001</v>
      </c>
      <c r="J111">
        <v>2</v>
      </c>
      <c r="K111" t="s">
        <v>1585</v>
      </c>
      <c r="L111" t="s">
        <v>1744</v>
      </c>
      <c r="M111">
        <v>74814</v>
      </c>
      <c r="N111" t="s">
        <v>1750</v>
      </c>
      <c r="O111" t="s">
        <v>1753</v>
      </c>
      <c r="P111" t="s">
        <v>1751</v>
      </c>
      <c r="Q111">
        <f t="shared" si="1"/>
        <v>901.37349397590367</v>
      </c>
    </row>
    <row r="112" spans="1:17" x14ac:dyDescent="0.3">
      <c r="A112" t="s">
        <v>123</v>
      </c>
      <c r="B112" t="s">
        <v>617</v>
      </c>
      <c r="C112">
        <v>56</v>
      </c>
      <c r="D112" t="s">
        <v>892</v>
      </c>
      <c r="E112" t="s">
        <v>897</v>
      </c>
      <c r="F112" t="s">
        <v>902</v>
      </c>
      <c r="G112" t="s">
        <v>923</v>
      </c>
      <c r="H112" t="s">
        <v>1051</v>
      </c>
      <c r="I112" t="s">
        <v>1359</v>
      </c>
      <c r="J112">
        <v>7</v>
      </c>
      <c r="K112" t="s">
        <v>1579</v>
      </c>
      <c r="L112" t="s">
        <v>1722</v>
      </c>
      <c r="M112">
        <v>174281</v>
      </c>
      <c r="N112" t="s">
        <v>1750</v>
      </c>
      <c r="O112" t="s">
        <v>1754</v>
      </c>
      <c r="P112" t="s">
        <v>1751</v>
      </c>
      <c r="Q112">
        <f t="shared" si="1"/>
        <v>2099.7710843373493</v>
      </c>
    </row>
    <row r="113" spans="1:17" x14ac:dyDescent="0.3">
      <c r="A113" t="s">
        <v>124</v>
      </c>
      <c r="B113" t="s">
        <v>618</v>
      </c>
      <c r="C113">
        <v>40</v>
      </c>
      <c r="D113" t="s">
        <v>891</v>
      </c>
      <c r="E113" t="s">
        <v>900</v>
      </c>
      <c r="F113" t="s">
        <v>904</v>
      </c>
      <c r="G113" t="s">
        <v>946</v>
      </c>
      <c r="H113" t="s">
        <v>1052</v>
      </c>
      <c r="I113" t="s">
        <v>1124</v>
      </c>
      <c r="J113">
        <v>1</v>
      </c>
      <c r="K113" t="s">
        <v>1586</v>
      </c>
      <c r="L113" t="s">
        <v>1724</v>
      </c>
      <c r="M113">
        <v>57172</v>
      </c>
      <c r="N113" t="s">
        <v>1750</v>
      </c>
      <c r="O113" t="s">
        <v>1753</v>
      </c>
      <c r="P113" t="s">
        <v>1751</v>
      </c>
      <c r="Q113">
        <f t="shared" si="1"/>
        <v>688.81927710843377</v>
      </c>
    </row>
    <row r="114" spans="1:17" x14ac:dyDescent="0.3">
      <c r="A114" t="s">
        <v>125</v>
      </c>
      <c r="B114" t="s">
        <v>619</v>
      </c>
      <c r="C114">
        <v>55</v>
      </c>
      <c r="D114" t="s">
        <v>891</v>
      </c>
      <c r="E114" t="s">
        <v>893</v>
      </c>
      <c r="F114" t="s">
        <v>907</v>
      </c>
      <c r="G114" t="s">
        <v>931</v>
      </c>
      <c r="H114" t="s">
        <v>1053</v>
      </c>
      <c r="I114" t="s">
        <v>1196</v>
      </c>
      <c r="J114">
        <v>1</v>
      </c>
      <c r="K114" t="s">
        <v>1587</v>
      </c>
      <c r="L114" t="s">
        <v>1727</v>
      </c>
      <c r="M114">
        <v>48168</v>
      </c>
      <c r="N114" t="s">
        <v>1750</v>
      </c>
      <c r="O114" t="s">
        <v>1754</v>
      </c>
      <c r="P114" t="s">
        <v>1751</v>
      </c>
      <c r="Q114">
        <f t="shared" si="1"/>
        <v>580.3373493975904</v>
      </c>
    </row>
    <row r="115" spans="1:17" x14ac:dyDescent="0.3">
      <c r="A115" t="s">
        <v>126</v>
      </c>
      <c r="B115" t="s">
        <v>620</v>
      </c>
      <c r="C115">
        <v>61</v>
      </c>
      <c r="D115" t="s">
        <v>892</v>
      </c>
      <c r="E115" t="s">
        <v>894</v>
      </c>
      <c r="F115" t="s">
        <v>906</v>
      </c>
      <c r="G115" t="s">
        <v>927</v>
      </c>
      <c r="H115" t="s">
        <v>1054</v>
      </c>
      <c r="I115" t="s">
        <v>1360</v>
      </c>
      <c r="J115">
        <v>1</v>
      </c>
      <c r="K115" t="s">
        <v>1517</v>
      </c>
      <c r="L115" t="s">
        <v>1726</v>
      </c>
      <c r="M115">
        <v>37312</v>
      </c>
      <c r="N115" t="s">
        <v>1750</v>
      </c>
      <c r="O115" t="s">
        <v>1754</v>
      </c>
      <c r="P115" t="s">
        <v>1751</v>
      </c>
      <c r="Q115">
        <f t="shared" si="1"/>
        <v>449.54216867469881</v>
      </c>
    </row>
    <row r="116" spans="1:17" x14ac:dyDescent="0.3">
      <c r="A116" t="s">
        <v>127</v>
      </c>
      <c r="B116" t="s">
        <v>621</v>
      </c>
      <c r="C116">
        <v>41</v>
      </c>
      <c r="D116" t="s">
        <v>891</v>
      </c>
      <c r="E116" t="s">
        <v>893</v>
      </c>
      <c r="F116" t="s">
        <v>904</v>
      </c>
      <c r="G116" t="s">
        <v>940</v>
      </c>
      <c r="H116" t="s">
        <v>1055</v>
      </c>
      <c r="I116" t="s">
        <v>1361</v>
      </c>
      <c r="J116">
        <v>1</v>
      </c>
      <c r="K116" t="s">
        <v>1525</v>
      </c>
      <c r="L116" t="s">
        <v>1724</v>
      </c>
      <c r="M116">
        <v>61687</v>
      </c>
      <c r="N116" t="s">
        <v>1750</v>
      </c>
      <c r="O116" t="s">
        <v>1755</v>
      </c>
      <c r="P116" t="s">
        <v>1750</v>
      </c>
      <c r="Q116">
        <f t="shared" si="1"/>
        <v>743.2168674698795</v>
      </c>
    </row>
    <row r="117" spans="1:17" x14ac:dyDescent="0.3">
      <c r="A117" t="s">
        <v>128</v>
      </c>
      <c r="B117" t="s">
        <v>622</v>
      </c>
      <c r="C117">
        <v>66</v>
      </c>
      <c r="D117" t="s">
        <v>892</v>
      </c>
      <c r="E117" t="s">
        <v>893</v>
      </c>
      <c r="F117" t="s">
        <v>909</v>
      </c>
      <c r="G117" t="s">
        <v>935</v>
      </c>
      <c r="H117" t="s">
        <v>1056</v>
      </c>
      <c r="I117" t="s">
        <v>1060</v>
      </c>
      <c r="J117">
        <v>5</v>
      </c>
      <c r="K117" t="s">
        <v>1588</v>
      </c>
      <c r="L117" t="s">
        <v>1741</v>
      </c>
      <c r="M117">
        <v>162185</v>
      </c>
      <c r="N117" t="s">
        <v>1751</v>
      </c>
      <c r="O117" t="s">
        <v>1754</v>
      </c>
      <c r="P117" t="s">
        <v>1751</v>
      </c>
      <c r="Q117">
        <f t="shared" si="1"/>
        <v>1954.0361445783133</v>
      </c>
    </row>
    <row r="118" spans="1:17" x14ac:dyDescent="0.3">
      <c r="A118" t="s">
        <v>129</v>
      </c>
      <c r="B118" t="s">
        <v>623</v>
      </c>
      <c r="C118">
        <v>74</v>
      </c>
      <c r="D118" t="s">
        <v>892</v>
      </c>
      <c r="E118" t="s">
        <v>894</v>
      </c>
      <c r="F118" t="s">
        <v>907</v>
      </c>
      <c r="G118" t="s">
        <v>945</v>
      </c>
      <c r="H118" t="s">
        <v>1057</v>
      </c>
      <c r="I118" t="s">
        <v>1362</v>
      </c>
      <c r="J118">
        <v>16</v>
      </c>
      <c r="K118" t="s">
        <v>1589</v>
      </c>
      <c r="L118" t="s">
        <v>1749</v>
      </c>
      <c r="M118">
        <v>232587</v>
      </c>
      <c r="N118" t="s">
        <v>1750</v>
      </c>
      <c r="O118" t="s">
        <v>1754</v>
      </c>
      <c r="P118" t="s">
        <v>1750</v>
      </c>
      <c r="Q118">
        <f t="shared" si="1"/>
        <v>2802.2530120481929</v>
      </c>
    </row>
    <row r="119" spans="1:17" x14ac:dyDescent="0.3">
      <c r="A119" t="s">
        <v>130</v>
      </c>
      <c r="B119" t="s">
        <v>624</v>
      </c>
      <c r="C119">
        <v>0</v>
      </c>
      <c r="D119" t="s">
        <v>891</v>
      </c>
      <c r="E119" t="s">
        <v>893</v>
      </c>
      <c r="F119" t="s">
        <v>901</v>
      </c>
      <c r="G119" t="s">
        <v>948</v>
      </c>
      <c r="H119" t="s">
        <v>1041</v>
      </c>
      <c r="I119" t="s">
        <v>1363</v>
      </c>
      <c r="J119">
        <v>3</v>
      </c>
      <c r="K119" t="s">
        <v>1590</v>
      </c>
      <c r="L119" t="s">
        <v>1733</v>
      </c>
      <c r="M119">
        <v>71964</v>
      </c>
      <c r="N119" t="s">
        <v>1750</v>
      </c>
      <c r="O119" t="s">
        <v>1754</v>
      </c>
      <c r="P119" t="s">
        <v>1751</v>
      </c>
      <c r="Q119">
        <f t="shared" si="1"/>
        <v>867.03614457831327</v>
      </c>
    </row>
    <row r="120" spans="1:17" x14ac:dyDescent="0.3">
      <c r="A120" t="s">
        <v>131</v>
      </c>
      <c r="B120" t="s">
        <v>625</v>
      </c>
      <c r="C120">
        <v>35</v>
      </c>
      <c r="D120" t="s">
        <v>891</v>
      </c>
      <c r="E120" t="s">
        <v>897</v>
      </c>
      <c r="F120" t="s">
        <v>905</v>
      </c>
      <c r="G120" t="s">
        <v>933</v>
      </c>
      <c r="H120" t="s">
        <v>1058</v>
      </c>
      <c r="I120" t="s">
        <v>1299</v>
      </c>
      <c r="J120">
        <v>14</v>
      </c>
      <c r="K120" t="s">
        <v>1549</v>
      </c>
      <c r="L120" t="s">
        <v>1729</v>
      </c>
      <c r="M120">
        <v>327702</v>
      </c>
      <c r="N120" t="s">
        <v>1751</v>
      </c>
      <c r="O120" t="s">
        <v>1754</v>
      </c>
      <c r="P120" t="s">
        <v>1751</v>
      </c>
      <c r="Q120">
        <f t="shared" si="1"/>
        <v>3948.2168674698796</v>
      </c>
    </row>
    <row r="121" spans="1:17" x14ac:dyDescent="0.3">
      <c r="A121" t="s">
        <v>132</v>
      </c>
      <c r="B121" t="s">
        <v>626</v>
      </c>
      <c r="C121">
        <v>85</v>
      </c>
      <c r="D121" t="s">
        <v>891</v>
      </c>
      <c r="E121" t="s">
        <v>897</v>
      </c>
      <c r="F121" t="s">
        <v>903</v>
      </c>
      <c r="G121" t="s">
        <v>912</v>
      </c>
      <c r="H121" t="s">
        <v>1059</v>
      </c>
      <c r="I121" t="s">
        <v>1127</v>
      </c>
      <c r="J121">
        <v>6</v>
      </c>
      <c r="K121" t="s">
        <v>1591</v>
      </c>
      <c r="L121" t="s">
        <v>1723</v>
      </c>
      <c r="M121">
        <v>79143</v>
      </c>
      <c r="N121" t="s">
        <v>1750</v>
      </c>
      <c r="O121" t="s">
        <v>1754</v>
      </c>
      <c r="P121" t="s">
        <v>1750</v>
      </c>
      <c r="Q121">
        <f t="shared" si="1"/>
        <v>953.53012048192772</v>
      </c>
    </row>
    <row r="122" spans="1:17" x14ac:dyDescent="0.3">
      <c r="A122" t="s">
        <v>133</v>
      </c>
      <c r="B122" t="s">
        <v>627</v>
      </c>
      <c r="C122">
        <v>83</v>
      </c>
      <c r="D122" t="s">
        <v>892</v>
      </c>
      <c r="E122" t="s">
        <v>897</v>
      </c>
      <c r="F122" t="s">
        <v>909</v>
      </c>
      <c r="G122" t="s">
        <v>922</v>
      </c>
      <c r="H122" t="s">
        <v>1020</v>
      </c>
      <c r="I122" t="s">
        <v>1364</v>
      </c>
      <c r="J122">
        <v>1</v>
      </c>
      <c r="K122" t="s">
        <v>1504</v>
      </c>
      <c r="L122" t="s">
        <v>1731</v>
      </c>
      <c r="M122">
        <v>14409</v>
      </c>
      <c r="N122" t="s">
        <v>1750</v>
      </c>
      <c r="O122" t="s">
        <v>1756</v>
      </c>
      <c r="P122" t="s">
        <v>1751</v>
      </c>
      <c r="Q122">
        <f t="shared" si="1"/>
        <v>173.60240963855421</v>
      </c>
    </row>
    <row r="123" spans="1:17" x14ac:dyDescent="0.3">
      <c r="A123" t="s">
        <v>134</v>
      </c>
      <c r="B123" t="s">
        <v>628</v>
      </c>
      <c r="C123">
        <v>82</v>
      </c>
      <c r="D123" t="s">
        <v>891</v>
      </c>
      <c r="E123" t="s">
        <v>899</v>
      </c>
      <c r="F123" t="s">
        <v>905</v>
      </c>
      <c r="G123" t="s">
        <v>939</v>
      </c>
      <c r="H123" t="s">
        <v>1060</v>
      </c>
      <c r="I123" t="s">
        <v>1365</v>
      </c>
      <c r="J123">
        <v>15</v>
      </c>
      <c r="K123" t="s">
        <v>1592</v>
      </c>
      <c r="L123" t="s">
        <v>1740</v>
      </c>
      <c r="M123">
        <v>305046</v>
      </c>
      <c r="N123" t="s">
        <v>1751</v>
      </c>
      <c r="O123" t="s">
        <v>1754</v>
      </c>
      <c r="P123" t="s">
        <v>1751</v>
      </c>
      <c r="Q123">
        <f t="shared" si="1"/>
        <v>3675.2530120481929</v>
      </c>
    </row>
    <row r="124" spans="1:17" x14ac:dyDescent="0.3">
      <c r="A124" t="s">
        <v>135</v>
      </c>
      <c r="B124" t="s">
        <v>629</v>
      </c>
      <c r="C124">
        <v>31</v>
      </c>
      <c r="D124" t="s">
        <v>892</v>
      </c>
      <c r="E124" t="s">
        <v>900</v>
      </c>
      <c r="F124" t="s">
        <v>905</v>
      </c>
      <c r="G124" t="s">
        <v>933</v>
      </c>
      <c r="H124" t="s">
        <v>1061</v>
      </c>
      <c r="I124" t="s">
        <v>1159</v>
      </c>
      <c r="J124">
        <v>5</v>
      </c>
      <c r="K124" t="s">
        <v>1570</v>
      </c>
      <c r="L124" t="s">
        <v>1729</v>
      </c>
      <c r="M124">
        <v>53551</v>
      </c>
      <c r="N124" t="s">
        <v>1750</v>
      </c>
      <c r="O124" t="s">
        <v>1756</v>
      </c>
      <c r="P124" t="s">
        <v>1751</v>
      </c>
      <c r="Q124">
        <f t="shared" si="1"/>
        <v>645.19277108433732</v>
      </c>
    </row>
    <row r="125" spans="1:17" x14ac:dyDescent="0.3">
      <c r="A125" t="s">
        <v>136</v>
      </c>
      <c r="B125" t="s">
        <v>630</v>
      </c>
      <c r="C125">
        <v>76</v>
      </c>
      <c r="D125" t="s">
        <v>892</v>
      </c>
      <c r="E125" t="s">
        <v>898</v>
      </c>
      <c r="F125" t="s">
        <v>908</v>
      </c>
      <c r="G125" t="s">
        <v>947</v>
      </c>
      <c r="H125" t="s">
        <v>1062</v>
      </c>
      <c r="I125" t="s">
        <v>989</v>
      </c>
      <c r="J125">
        <v>9</v>
      </c>
      <c r="K125" t="s">
        <v>1593</v>
      </c>
      <c r="L125" t="s">
        <v>1728</v>
      </c>
      <c r="M125">
        <v>320772</v>
      </c>
      <c r="N125" t="s">
        <v>1750</v>
      </c>
      <c r="O125" t="s">
        <v>1754</v>
      </c>
      <c r="P125" t="s">
        <v>1751</v>
      </c>
      <c r="Q125">
        <f t="shared" si="1"/>
        <v>3864.7228915662649</v>
      </c>
    </row>
    <row r="126" spans="1:17" x14ac:dyDescent="0.3">
      <c r="A126" t="s">
        <v>137</v>
      </c>
      <c r="B126" t="s">
        <v>631</v>
      </c>
      <c r="C126">
        <v>22</v>
      </c>
      <c r="D126" t="s">
        <v>892</v>
      </c>
      <c r="E126" t="s">
        <v>897</v>
      </c>
      <c r="F126" t="s">
        <v>906</v>
      </c>
      <c r="G126" t="s">
        <v>910</v>
      </c>
      <c r="H126" t="s">
        <v>1063</v>
      </c>
      <c r="I126" t="s">
        <v>1241</v>
      </c>
      <c r="J126">
        <v>11</v>
      </c>
      <c r="K126" t="s">
        <v>1558</v>
      </c>
      <c r="L126" t="s">
        <v>1739</v>
      </c>
      <c r="M126">
        <v>231004</v>
      </c>
      <c r="N126" t="s">
        <v>1750</v>
      </c>
      <c r="O126" t="s">
        <v>1754</v>
      </c>
      <c r="P126" t="s">
        <v>1751</v>
      </c>
      <c r="Q126">
        <f t="shared" si="1"/>
        <v>2783.1807228915663</v>
      </c>
    </row>
    <row r="127" spans="1:17" x14ac:dyDescent="0.3">
      <c r="A127" t="s">
        <v>138</v>
      </c>
      <c r="B127" t="s">
        <v>547</v>
      </c>
      <c r="C127">
        <v>28</v>
      </c>
      <c r="D127" t="s">
        <v>891</v>
      </c>
      <c r="E127" t="s">
        <v>893</v>
      </c>
      <c r="F127" t="s">
        <v>904</v>
      </c>
      <c r="G127" t="s">
        <v>937</v>
      </c>
      <c r="H127" t="s">
        <v>1064</v>
      </c>
      <c r="I127" t="s">
        <v>1366</v>
      </c>
      <c r="J127">
        <v>1</v>
      </c>
      <c r="K127" t="s">
        <v>1571</v>
      </c>
      <c r="L127" t="s">
        <v>1742</v>
      </c>
      <c r="M127">
        <v>51807</v>
      </c>
      <c r="N127" t="s">
        <v>1750</v>
      </c>
      <c r="O127" t="s">
        <v>1756</v>
      </c>
      <c r="P127" t="s">
        <v>1751</v>
      </c>
      <c r="Q127">
        <f t="shared" si="1"/>
        <v>624.18072289156623</v>
      </c>
    </row>
    <row r="128" spans="1:17" x14ac:dyDescent="0.3">
      <c r="A128" t="s">
        <v>139</v>
      </c>
      <c r="B128" t="s">
        <v>632</v>
      </c>
      <c r="C128">
        <v>55</v>
      </c>
      <c r="D128" t="s">
        <v>892</v>
      </c>
      <c r="E128" t="s">
        <v>897</v>
      </c>
      <c r="F128" t="s">
        <v>908</v>
      </c>
      <c r="G128" t="s">
        <v>936</v>
      </c>
      <c r="H128" t="s">
        <v>1065</v>
      </c>
      <c r="I128" t="s">
        <v>1179</v>
      </c>
      <c r="J128">
        <v>1</v>
      </c>
      <c r="K128" t="s">
        <v>1594</v>
      </c>
      <c r="L128" t="s">
        <v>1735</v>
      </c>
      <c r="M128">
        <v>35833</v>
      </c>
      <c r="N128" t="s">
        <v>1750</v>
      </c>
      <c r="O128" t="s">
        <v>1752</v>
      </c>
      <c r="P128" t="s">
        <v>1751</v>
      </c>
      <c r="Q128">
        <f t="shared" si="1"/>
        <v>431.72289156626505</v>
      </c>
    </row>
    <row r="129" spans="1:17" x14ac:dyDescent="0.3">
      <c r="A129" t="s">
        <v>140</v>
      </c>
      <c r="B129" t="s">
        <v>633</v>
      </c>
      <c r="C129">
        <v>43</v>
      </c>
      <c r="D129" t="s">
        <v>892</v>
      </c>
      <c r="E129" t="s">
        <v>900</v>
      </c>
      <c r="F129" t="s">
        <v>904</v>
      </c>
      <c r="G129" t="s">
        <v>940</v>
      </c>
      <c r="H129" t="s">
        <v>1066</v>
      </c>
      <c r="I129" t="s">
        <v>1367</v>
      </c>
      <c r="J129">
        <v>1</v>
      </c>
      <c r="K129" t="s">
        <v>1595</v>
      </c>
      <c r="L129" t="s">
        <v>1724</v>
      </c>
      <c r="M129">
        <v>64040</v>
      </c>
      <c r="N129" t="s">
        <v>1750</v>
      </c>
      <c r="O129" t="s">
        <v>1756</v>
      </c>
      <c r="P129" t="s">
        <v>1751</v>
      </c>
      <c r="Q129">
        <f t="shared" si="1"/>
        <v>771.56626506024099</v>
      </c>
    </row>
    <row r="130" spans="1:17" x14ac:dyDescent="0.3">
      <c r="A130" t="s">
        <v>141</v>
      </c>
      <c r="B130" t="s">
        <v>634</v>
      </c>
      <c r="C130">
        <v>26</v>
      </c>
      <c r="D130" t="s">
        <v>891</v>
      </c>
      <c r="E130" t="s">
        <v>900</v>
      </c>
      <c r="F130" t="s">
        <v>909</v>
      </c>
      <c r="G130" t="s">
        <v>920</v>
      </c>
      <c r="H130" t="s">
        <v>1067</v>
      </c>
      <c r="I130" t="s">
        <v>1368</v>
      </c>
      <c r="J130">
        <v>1</v>
      </c>
      <c r="K130" t="s">
        <v>1568</v>
      </c>
      <c r="L130" t="s">
        <v>1738</v>
      </c>
      <c r="M130">
        <v>28733</v>
      </c>
      <c r="N130" t="s">
        <v>1750</v>
      </c>
      <c r="O130" t="s">
        <v>1754</v>
      </c>
      <c r="P130" t="s">
        <v>1751</v>
      </c>
      <c r="Q130">
        <f t="shared" si="1"/>
        <v>346.18072289156629</v>
      </c>
    </row>
    <row r="131" spans="1:17" x14ac:dyDescent="0.3">
      <c r="A131" t="s">
        <v>142</v>
      </c>
      <c r="B131" t="s">
        <v>635</v>
      </c>
      <c r="C131">
        <v>85</v>
      </c>
      <c r="D131" t="s">
        <v>892</v>
      </c>
      <c r="E131" t="s">
        <v>893</v>
      </c>
      <c r="F131" t="s">
        <v>905</v>
      </c>
      <c r="G131" t="s">
        <v>939</v>
      </c>
      <c r="H131" t="s">
        <v>1068</v>
      </c>
      <c r="I131" t="s">
        <v>1369</v>
      </c>
      <c r="J131">
        <v>11</v>
      </c>
      <c r="K131" t="s">
        <v>1596</v>
      </c>
      <c r="L131" t="s">
        <v>1729</v>
      </c>
      <c r="M131">
        <v>192364</v>
      </c>
      <c r="N131" t="s">
        <v>1750</v>
      </c>
      <c r="O131" t="s">
        <v>1754</v>
      </c>
      <c r="P131" t="s">
        <v>1751</v>
      </c>
      <c r="Q131">
        <f t="shared" si="1"/>
        <v>2317.6385542168673</v>
      </c>
    </row>
    <row r="132" spans="1:17" x14ac:dyDescent="0.3">
      <c r="A132" t="s">
        <v>143</v>
      </c>
      <c r="B132" t="s">
        <v>636</v>
      </c>
      <c r="C132">
        <v>26</v>
      </c>
      <c r="D132" t="s">
        <v>891</v>
      </c>
      <c r="E132" t="s">
        <v>896</v>
      </c>
      <c r="F132" t="s">
        <v>904</v>
      </c>
      <c r="G132" t="s">
        <v>934</v>
      </c>
      <c r="H132" t="s">
        <v>1069</v>
      </c>
      <c r="I132" t="s">
        <v>1016</v>
      </c>
      <c r="J132">
        <v>5</v>
      </c>
      <c r="K132" t="s">
        <v>1538</v>
      </c>
      <c r="L132" t="s">
        <v>1747</v>
      </c>
      <c r="M132">
        <v>236645</v>
      </c>
      <c r="N132" t="s">
        <v>1750</v>
      </c>
      <c r="O132" t="s">
        <v>1753</v>
      </c>
      <c r="P132" t="s">
        <v>1751</v>
      </c>
      <c r="Q132">
        <f t="shared" si="1"/>
        <v>2851.1445783132531</v>
      </c>
    </row>
    <row r="133" spans="1:17" x14ac:dyDescent="0.3">
      <c r="A133" t="s">
        <v>144</v>
      </c>
      <c r="B133" t="s">
        <v>637</v>
      </c>
      <c r="C133">
        <v>74</v>
      </c>
      <c r="D133" t="s">
        <v>891</v>
      </c>
      <c r="E133" t="s">
        <v>898</v>
      </c>
      <c r="F133" t="s">
        <v>905</v>
      </c>
      <c r="G133" t="s">
        <v>914</v>
      </c>
      <c r="H133" t="s">
        <v>1070</v>
      </c>
      <c r="I133" t="s">
        <v>1180</v>
      </c>
      <c r="J133">
        <v>1</v>
      </c>
      <c r="K133" t="s">
        <v>1597</v>
      </c>
      <c r="L133" t="s">
        <v>1729</v>
      </c>
      <c r="M133">
        <v>30724</v>
      </c>
      <c r="N133" t="s">
        <v>1750</v>
      </c>
      <c r="O133" t="s">
        <v>1754</v>
      </c>
      <c r="P133" t="s">
        <v>1751</v>
      </c>
      <c r="Q133">
        <f t="shared" ref="Q133:Q196" si="2">M133/83</f>
        <v>370.1686746987952</v>
      </c>
    </row>
    <row r="134" spans="1:17" x14ac:dyDescent="0.3">
      <c r="A134" t="s">
        <v>145</v>
      </c>
      <c r="B134" t="s">
        <v>638</v>
      </c>
      <c r="C134">
        <v>42</v>
      </c>
      <c r="D134" t="s">
        <v>892</v>
      </c>
      <c r="E134" t="s">
        <v>897</v>
      </c>
      <c r="F134" t="s">
        <v>907</v>
      </c>
      <c r="G134" t="s">
        <v>945</v>
      </c>
      <c r="H134" t="s">
        <v>1071</v>
      </c>
      <c r="I134" t="s">
        <v>1370</v>
      </c>
      <c r="J134">
        <v>7</v>
      </c>
      <c r="K134" t="s">
        <v>1598</v>
      </c>
      <c r="L134" t="s">
        <v>1749</v>
      </c>
      <c r="M134">
        <v>106967</v>
      </c>
      <c r="N134" t="s">
        <v>1750</v>
      </c>
      <c r="O134" t="s">
        <v>1755</v>
      </c>
      <c r="P134" t="s">
        <v>1750</v>
      </c>
      <c r="Q134">
        <f t="shared" si="2"/>
        <v>1288.7590361445782</v>
      </c>
    </row>
    <row r="135" spans="1:17" x14ac:dyDescent="0.3">
      <c r="A135" t="s">
        <v>146</v>
      </c>
      <c r="B135" t="s">
        <v>639</v>
      </c>
      <c r="C135">
        <v>38</v>
      </c>
      <c r="D135" t="s">
        <v>892</v>
      </c>
      <c r="E135" t="s">
        <v>893</v>
      </c>
      <c r="F135" t="s">
        <v>908</v>
      </c>
      <c r="G135" t="s">
        <v>936</v>
      </c>
      <c r="H135" t="s">
        <v>1072</v>
      </c>
      <c r="I135" t="s">
        <v>1039</v>
      </c>
      <c r="J135">
        <v>3</v>
      </c>
      <c r="K135" t="s">
        <v>1599</v>
      </c>
      <c r="L135" t="s">
        <v>1737</v>
      </c>
      <c r="M135">
        <v>155479</v>
      </c>
      <c r="N135" t="s">
        <v>1750</v>
      </c>
      <c r="O135" t="s">
        <v>1752</v>
      </c>
      <c r="P135" t="s">
        <v>1751</v>
      </c>
      <c r="Q135">
        <f t="shared" si="2"/>
        <v>1873.2409638554218</v>
      </c>
    </row>
    <row r="136" spans="1:17" x14ac:dyDescent="0.3">
      <c r="A136" t="s">
        <v>147</v>
      </c>
      <c r="B136" t="s">
        <v>640</v>
      </c>
      <c r="C136">
        <v>34</v>
      </c>
      <c r="D136" t="s">
        <v>892</v>
      </c>
      <c r="E136" t="s">
        <v>893</v>
      </c>
      <c r="F136" t="s">
        <v>909</v>
      </c>
      <c r="G136" t="s">
        <v>922</v>
      </c>
      <c r="H136" t="s">
        <v>1073</v>
      </c>
      <c r="I136" t="s">
        <v>1371</v>
      </c>
      <c r="J136">
        <v>1</v>
      </c>
      <c r="K136" t="s">
        <v>1600</v>
      </c>
      <c r="L136" t="s">
        <v>1741</v>
      </c>
      <c r="M136">
        <v>16925</v>
      </c>
      <c r="N136" t="s">
        <v>1751</v>
      </c>
      <c r="O136" t="s">
        <v>1756</v>
      </c>
      <c r="P136" t="s">
        <v>1751</v>
      </c>
      <c r="Q136">
        <f t="shared" si="2"/>
        <v>203.9156626506024</v>
      </c>
    </row>
    <row r="137" spans="1:17" x14ac:dyDescent="0.3">
      <c r="A137" t="s">
        <v>148</v>
      </c>
      <c r="B137" t="s">
        <v>641</v>
      </c>
      <c r="C137">
        <v>59</v>
      </c>
      <c r="D137" t="s">
        <v>891</v>
      </c>
      <c r="E137" t="s">
        <v>894</v>
      </c>
      <c r="F137" t="s">
        <v>903</v>
      </c>
      <c r="G137" t="s">
        <v>912</v>
      </c>
      <c r="H137" t="s">
        <v>1074</v>
      </c>
      <c r="I137" t="s">
        <v>1372</v>
      </c>
      <c r="J137">
        <v>1</v>
      </c>
      <c r="K137" t="s">
        <v>1548</v>
      </c>
      <c r="L137" t="s">
        <v>1723</v>
      </c>
      <c r="M137">
        <v>15088</v>
      </c>
      <c r="N137" t="s">
        <v>1751</v>
      </c>
      <c r="O137" t="s">
        <v>1756</v>
      </c>
      <c r="P137" t="s">
        <v>1751</v>
      </c>
      <c r="Q137">
        <f t="shared" si="2"/>
        <v>181.78313253012047</v>
      </c>
    </row>
    <row r="138" spans="1:17" x14ac:dyDescent="0.3">
      <c r="A138" t="s">
        <v>149</v>
      </c>
      <c r="B138" t="s">
        <v>642</v>
      </c>
      <c r="C138">
        <v>29</v>
      </c>
      <c r="D138" t="s">
        <v>892</v>
      </c>
      <c r="E138" t="s">
        <v>897</v>
      </c>
      <c r="F138" t="s">
        <v>903</v>
      </c>
      <c r="G138" t="s">
        <v>912</v>
      </c>
      <c r="H138" t="s">
        <v>1056</v>
      </c>
      <c r="I138" t="s">
        <v>1373</v>
      </c>
      <c r="J138">
        <v>1</v>
      </c>
      <c r="K138" t="s">
        <v>1601</v>
      </c>
      <c r="L138" t="s">
        <v>1748</v>
      </c>
      <c r="M138">
        <v>9275</v>
      </c>
      <c r="N138" t="s">
        <v>1750</v>
      </c>
      <c r="O138" t="s">
        <v>1754</v>
      </c>
      <c r="P138" t="s">
        <v>1751</v>
      </c>
      <c r="Q138">
        <f t="shared" si="2"/>
        <v>111.74698795180723</v>
      </c>
    </row>
    <row r="139" spans="1:17" x14ac:dyDescent="0.3">
      <c r="A139" t="s">
        <v>150</v>
      </c>
      <c r="B139" t="s">
        <v>576</v>
      </c>
      <c r="C139">
        <v>86</v>
      </c>
      <c r="D139" t="s">
        <v>892</v>
      </c>
      <c r="E139" t="s">
        <v>893</v>
      </c>
      <c r="F139" t="s">
        <v>902</v>
      </c>
      <c r="G139" t="s">
        <v>925</v>
      </c>
      <c r="H139" t="s">
        <v>1075</v>
      </c>
      <c r="I139" t="s">
        <v>1259</v>
      </c>
      <c r="J139">
        <v>14</v>
      </c>
      <c r="K139" t="s">
        <v>1602</v>
      </c>
      <c r="L139" t="s">
        <v>1722</v>
      </c>
      <c r="M139">
        <v>617929</v>
      </c>
      <c r="N139" t="s">
        <v>1750</v>
      </c>
      <c r="O139" t="s">
        <v>1752</v>
      </c>
      <c r="P139" t="s">
        <v>1751</v>
      </c>
      <c r="Q139">
        <f t="shared" si="2"/>
        <v>7444.9277108433735</v>
      </c>
    </row>
    <row r="140" spans="1:17" x14ac:dyDescent="0.3">
      <c r="A140" t="s">
        <v>151</v>
      </c>
      <c r="B140" t="s">
        <v>643</v>
      </c>
      <c r="C140">
        <v>14</v>
      </c>
      <c r="D140" t="s">
        <v>892</v>
      </c>
      <c r="E140" t="s">
        <v>893</v>
      </c>
      <c r="F140" t="s">
        <v>901</v>
      </c>
      <c r="G140" t="s">
        <v>948</v>
      </c>
      <c r="H140" t="s">
        <v>974</v>
      </c>
      <c r="I140" t="s">
        <v>1292</v>
      </c>
      <c r="J140">
        <v>1</v>
      </c>
      <c r="K140" t="s">
        <v>1603</v>
      </c>
      <c r="L140" t="s">
        <v>1733</v>
      </c>
      <c r="M140">
        <v>9284</v>
      </c>
      <c r="N140" t="s">
        <v>1750</v>
      </c>
      <c r="O140" t="s">
        <v>1752</v>
      </c>
      <c r="P140" t="s">
        <v>1751</v>
      </c>
      <c r="Q140">
        <f t="shared" si="2"/>
        <v>111.85542168674699</v>
      </c>
    </row>
    <row r="141" spans="1:17" x14ac:dyDescent="0.3">
      <c r="A141" t="s">
        <v>152</v>
      </c>
      <c r="B141" t="s">
        <v>644</v>
      </c>
      <c r="C141">
        <v>76</v>
      </c>
      <c r="D141" t="s">
        <v>891</v>
      </c>
      <c r="E141" t="s">
        <v>897</v>
      </c>
      <c r="F141" t="s">
        <v>907</v>
      </c>
      <c r="G141" t="s">
        <v>916</v>
      </c>
      <c r="H141" t="s">
        <v>1076</v>
      </c>
      <c r="I141" t="s">
        <v>1365</v>
      </c>
      <c r="J141">
        <v>7</v>
      </c>
      <c r="K141" t="s">
        <v>1604</v>
      </c>
      <c r="L141" t="s">
        <v>1749</v>
      </c>
      <c r="M141">
        <v>94969</v>
      </c>
      <c r="N141" t="s">
        <v>1750</v>
      </c>
      <c r="O141" t="s">
        <v>1755</v>
      </c>
      <c r="P141" t="s">
        <v>1750</v>
      </c>
      <c r="Q141">
        <f t="shared" si="2"/>
        <v>1144.2048192771085</v>
      </c>
    </row>
    <row r="142" spans="1:17" x14ac:dyDescent="0.3">
      <c r="A142" t="s">
        <v>153</v>
      </c>
      <c r="B142" t="s">
        <v>645</v>
      </c>
      <c r="C142">
        <v>49</v>
      </c>
      <c r="D142" t="s">
        <v>891</v>
      </c>
      <c r="E142" t="s">
        <v>897</v>
      </c>
      <c r="F142" t="s">
        <v>903</v>
      </c>
      <c r="G142" t="s">
        <v>926</v>
      </c>
      <c r="H142" t="s">
        <v>1077</v>
      </c>
      <c r="I142" t="s">
        <v>1257</v>
      </c>
      <c r="J142">
        <v>4</v>
      </c>
      <c r="K142" t="s">
        <v>1605</v>
      </c>
      <c r="L142" t="s">
        <v>1734</v>
      </c>
      <c r="M142">
        <v>90718</v>
      </c>
      <c r="N142" t="s">
        <v>1751</v>
      </c>
      <c r="O142" t="s">
        <v>1754</v>
      </c>
      <c r="P142" t="s">
        <v>1751</v>
      </c>
      <c r="Q142">
        <f t="shared" si="2"/>
        <v>1092.9879518072289</v>
      </c>
    </row>
    <row r="143" spans="1:17" x14ac:dyDescent="0.3">
      <c r="A143" t="s">
        <v>154</v>
      </c>
      <c r="B143" t="s">
        <v>646</v>
      </c>
      <c r="C143">
        <v>68</v>
      </c>
      <c r="D143" t="s">
        <v>892</v>
      </c>
      <c r="E143" t="s">
        <v>898</v>
      </c>
      <c r="F143" t="s">
        <v>909</v>
      </c>
      <c r="G143" t="s">
        <v>920</v>
      </c>
      <c r="H143" t="s">
        <v>1078</v>
      </c>
      <c r="I143" t="s">
        <v>1374</v>
      </c>
      <c r="J143">
        <v>1</v>
      </c>
      <c r="K143" t="s">
        <v>1606</v>
      </c>
      <c r="L143" t="s">
        <v>1731</v>
      </c>
      <c r="M143">
        <v>20776</v>
      </c>
      <c r="N143" t="s">
        <v>1750</v>
      </c>
      <c r="O143" t="s">
        <v>1753</v>
      </c>
      <c r="P143" t="s">
        <v>1750</v>
      </c>
      <c r="Q143">
        <f t="shared" si="2"/>
        <v>250.31325301204819</v>
      </c>
    </row>
    <row r="144" spans="1:17" x14ac:dyDescent="0.3">
      <c r="A144" t="s">
        <v>155</v>
      </c>
      <c r="B144" t="s">
        <v>548</v>
      </c>
      <c r="C144">
        <v>43</v>
      </c>
      <c r="D144" t="s">
        <v>892</v>
      </c>
      <c r="E144" t="s">
        <v>897</v>
      </c>
      <c r="F144" t="s">
        <v>902</v>
      </c>
      <c r="G144" t="s">
        <v>925</v>
      </c>
      <c r="H144" t="s">
        <v>1079</v>
      </c>
      <c r="I144" t="s">
        <v>1335</v>
      </c>
      <c r="J144">
        <v>17</v>
      </c>
      <c r="K144" t="s">
        <v>1607</v>
      </c>
      <c r="L144" t="s">
        <v>1746</v>
      </c>
      <c r="M144">
        <v>850816</v>
      </c>
      <c r="N144" t="s">
        <v>1750</v>
      </c>
      <c r="O144" t="s">
        <v>1754</v>
      </c>
      <c r="P144" t="s">
        <v>1751</v>
      </c>
      <c r="Q144">
        <f t="shared" si="2"/>
        <v>10250.795180722891</v>
      </c>
    </row>
    <row r="145" spans="1:17" x14ac:dyDescent="0.3">
      <c r="A145" t="s">
        <v>156</v>
      </c>
      <c r="B145" t="s">
        <v>647</v>
      </c>
      <c r="C145">
        <v>82</v>
      </c>
      <c r="D145" t="s">
        <v>891</v>
      </c>
      <c r="E145" t="s">
        <v>893</v>
      </c>
      <c r="F145" t="s">
        <v>903</v>
      </c>
      <c r="G145" t="s">
        <v>930</v>
      </c>
      <c r="H145" t="s">
        <v>1080</v>
      </c>
      <c r="I145" t="s">
        <v>1375</v>
      </c>
      <c r="J145">
        <v>13</v>
      </c>
      <c r="K145" t="s">
        <v>1608</v>
      </c>
      <c r="L145" t="s">
        <v>1734</v>
      </c>
      <c r="M145">
        <v>282977</v>
      </c>
      <c r="N145" t="s">
        <v>1750</v>
      </c>
      <c r="O145" t="s">
        <v>1754</v>
      </c>
      <c r="P145" t="s">
        <v>1751</v>
      </c>
      <c r="Q145">
        <f t="shared" si="2"/>
        <v>3409.3614457831327</v>
      </c>
    </row>
    <row r="146" spans="1:17" x14ac:dyDescent="0.3">
      <c r="A146" t="s">
        <v>157</v>
      </c>
      <c r="B146" t="s">
        <v>648</v>
      </c>
      <c r="C146">
        <v>69</v>
      </c>
      <c r="D146" t="s">
        <v>892</v>
      </c>
      <c r="E146" t="s">
        <v>894</v>
      </c>
      <c r="F146" t="s">
        <v>907</v>
      </c>
      <c r="G146" t="s">
        <v>938</v>
      </c>
      <c r="H146" t="s">
        <v>1081</v>
      </c>
      <c r="I146" t="s">
        <v>1376</v>
      </c>
      <c r="J146">
        <v>2</v>
      </c>
      <c r="K146" t="s">
        <v>1582</v>
      </c>
      <c r="L146" t="s">
        <v>1749</v>
      </c>
      <c r="M146">
        <v>20221</v>
      </c>
      <c r="N146" t="s">
        <v>1750</v>
      </c>
      <c r="O146" t="s">
        <v>1754</v>
      </c>
      <c r="P146" t="s">
        <v>1751</v>
      </c>
      <c r="Q146">
        <f t="shared" si="2"/>
        <v>243.62650602409639</v>
      </c>
    </row>
    <row r="147" spans="1:17" x14ac:dyDescent="0.3">
      <c r="A147" t="s">
        <v>158</v>
      </c>
      <c r="B147" t="s">
        <v>649</v>
      </c>
      <c r="C147">
        <v>58</v>
      </c>
      <c r="D147" t="s">
        <v>892</v>
      </c>
      <c r="E147" t="s">
        <v>897</v>
      </c>
      <c r="F147" t="s">
        <v>906</v>
      </c>
      <c r="G147" t="s">
        <v>915</v>
      </c>
      <c r="H147" t="s">
        <v>1082</v>
      </c>
      <c r="I147" t="s">
        <v>1377</v>
      </c>
      <c r="J147">
        <v>3</v>
      </c>
      <c r="K147" t="s">
        <v>1609</v>
      </c>
      <c r="L147" t="s">
        <v>1739</v>
      </c>
      <c r="M147">
        <v>114966</v>
      </c>
      <c r="N147" t="s">
        <v>1751</v>
      </c>
      <c r="O147" t="s">
        <v>1753</v>
      </c>
      <c r="P147" t="s">
        <v>1751</v>
      </c>
      <c r="Q147">
        <f t="shared" si="2"/>
        <v>1385.132530120482</v>
      </c>
    </row>
    <row r="148" spans="1:17" x14ac:dyDescent="0.3">
      <c r="A148" t="s">
        <v>159</v>
      </c>
      <c r="B148" t="s">
        <v>650</v>
      </c>
      <c r="C148">
        <v>60</v>
      </c>
      <c r="D148" t="s">
        <v>892</v>
      </c>
      <c r="E148" t="s">
        <v>893</v>
      </c>
      <c r="F148" t="s">
        <v>909</v>
      </c>
      <c r="G148" t="s">
        <v>920</v>
      </c>
      <c r="H148" t="s">
        <v>1083</v>
      </c>
      <c r="I148" t="s">
        <v>1199</v>
      </c>
      <c r="J148">
        <v>1</v>
      </c>
      <c r="K148" t="s">
        <v>1610</v>
      </c>
      <c r="L148" t="s">
        <v>1741</v>
      </c>
      <c r="M148">
        <v>32298</v>
      </c>
      <c r="N148" t="s">
        <v>1750</v>
      </c>
      <c r="O148" t="s">
        <v>1754</v>
      </c>
      <c r="P148" t="s">
        <v>1751</v>
      </c>
      <c r="Q148">
        <f t="shared" si="2"/>
        <v>389.13253012048193</v>
      </c>
    </row>
    <row r="149" spans="1:17" x14ac:dyDescent="0.3">
      <c r="A149" t="s">
        <v>160</v>
      </c>
      <c r="B149" t="s">
        <v>651</v>
      </c>
      <c r="C149">
        <v>36</v>
      </c>
      <c r="D149" t="s">
        <v>891</v>
      </c>
      <c r="E149" t="s">
        <v>897</v>
      </c>
      <c r="F149" t="s">
        <v>909</v>
      </c>
      <c r="G149" t="s">
        <v>932</v>
      </c>
      <c r="H149" t="s">
        <v>1084</v>
      </c>
      <c r="I149" t="s">
        <v>962</v>
      </c>
      <c r="J149">
        <v>1</v>
      </c>
      <c r="K149" t="s">
        <v>1504</v>
      </c>
      <c r="L149" t="s">
        <v>1732</v>
      </c>
      <c r="M149">
        <v>7069</v>
      </c>
      <c r="N149" t="s">
        <v>1750</v>
      </c>
      <c r="O149" t="s">
        <v>1754</v>
      </c>
      <c r="P149" t="s">
        <v>1751</v>
      </c>
      <c r="Q149">
        <f t="shared" si="2"/>
        <v>85.168674698795186</v>
      </c>
    </row>
    <row r="150" spans="1:17" x14ac:dyDescent="0.3">
      <c r="A150" t="s">
        <v>161</v>
      </c>
      <c r="B150" t="s">
        <v>652</v>
      </c>
      <c r="C150">
        <v>15</v>
      </c>
      <c r="D150" t="s">
        <v>892</v>
      </c>
      <c r="E150" t="s">
        <v>900</v>
      </c>
      <c r="F150" t="s">
        <v>901</v>
      </c>
      <c r="G150" t="s">
        <v>948</v>
      </c>
      <c r="H150" t="s">
        <v>1085</v>
      </c>
      <c r="I150" t="s">
        <v>1192</v>
      </c>
      <c r="J150">
        <v>1</v>
      </c>
      <c r="K150" t="s">
        <v>1603</v>
      </c>
      <c r="L150" t="s">
        <v>1745</v>
      </c>
      <c r="M150">
        <v>12699</v>
      </c>
      <c r="N150" t="s">
        <v>1750</v>
      </c>
      <c r="O150" t="s">
        <v>1756</v>
      </c>
      <c r="P150" t="s">
        <v>1751</v>
      </c>
      <c r="Q150">
        <f t="shared" si="2"/>
        <v>153</v>
      </c>
    </row>
    <row r="151" spans="1:17" x14ac:dyDescent="0.3">
      <c r="A151" t="s">
        <v>162</v>
      </c>
      <c r="B151" t="s">
        <v>653</v>
      </c>
      <c r="C151">
        <v>63</v>
      </c>
      <c r="D151" t="s">
        <v>892</v>
      </c>
      <c r="E151" t="s">
        <v>895</v>
      </c>
      <c r="F151" t="s">
        <v>909</v>
      </c>
      <c r="G151" t="s">
        <v>922</v>
      </c>
      <c r="H151" t="s">
        <v>953</v>
      </c>
      <c r="I151" t="s">
        <v>1317</v>
      </c>
      <c r="J151">
        <v>1</v>
      </c>
      <c r="K151" t="s">
        <v>1535</v>
      </c>
      <c r="L151" t="s">
        <v>1741</v>
      </c>
      <c r="M151">
        <v>36731</v>
      </c>
      <c r="N151" t="s">
        <v>1750</v>
      </c>
      <c r="O151" t="s">
        <v>1754</v>
      </c>
      <c r="P151" t="s">
        <v>1751</v>
      </c>
      <c r="Q151">
        <f t="shared" si="2"/>
        <v>442.54216867469881</v>
      </c>
    </row>
    <row r="152" spans="1:17" x14ac:dyDescent="0.3">
      <c r="A152" t="s">
        <v>163</v>
      </c>
      <c r="B152" t="s">
        <v>549</v>
      </c>
      <c r="C152">
        <v>62</v>
      </c>
      <c r="D152" t="s">
        <v>892</v>
      </c>
      <c r="E152" t="s">
        <v>899</v>
      </c>
      <c r="F152" t="s">
        <v>909</v>
      </c>
      <c r="G152" t="s">
        <v>950</v>
      </c>
      <c r="H152" t="s">
        <v>1086</v>
      </c>
      <c r="I152" t="s">
        <v>1378</v>
      </c>
      <c r="J152">
        <v>1</v>
      </c>
      <c r="K152" t="s">
        <v>1577</v>
      </c>
      <c r="L152" t="s">
        <v>1732</v>
      </c>
      <c r="M152">
        <v>23860</v>
      </c>
      <c r="N152" t="s">
        <v>1750</v>
      </c>
      <c r="O152" t="s">
        <v>1756</v>
      </c>
      <c r="P152" t="s">
        <v>1751</v>
      </c>
      <c r="Q152">
        <f t="shared" si="2"/>
        <v>287.46987951807228</v>
      </c>
    </row>
    <row r="153" spans="1:17" x14ac:dyDescent="0.3">
      <c r="A153" t="s">
        <v>164</v>
      </c>
      <c r="B153" t="s">
        <v>654</v>
      </c>
      <c r="C153">
        <v>40</v>
      </c>
      <c r="D153" t="s">
        <v>892</v>
      </c>
      <c r="E153" t="s">
        <v>898</v>
      </c>
      <c r="F153" t="s">
        <v>902</v>
      </c>
      <c r="G153" t="s">
        <v>923</v>
      </c>
      <c r="H153" t="s">
        <v>1087</v>
      </c>
      <c r="I153" t="s">
        <v>1003</v>
      </c>
      <c r="J153">
        <v>1</v>
      </c>
      <c r="K153" t="s">
        <v>1602</v>
      </c>
      <c r="L153" t="s">
        <v>1744</v>
      </c>
      <c r="M153">
        <v>49182</v>
      </c>
      <c r="N153" t="s">
        <v>1750</v>
      </c>
      <c r="O153" t="s">
        <v>1754</v>
      </c>
      <c r="P153" t="s">
        <v>1751</v>
      </c>
      <c r="Q153">
        <f t="shared" si="2"/>
        <v>592.5542168674699</v>
      </c>
    </row>
    <row r="154" spans="1:17" x14ac:dyDescent="0.3">
      <c r="A154" t="s">
        <v>165</v>
      </c>
      <c r="B154" t="s">
        <v>655</v>
      </c>
      <c r="C154">
        <v>16</v>
      </c>
      <c r="D154" t="s">
        <v>892</v>
      </c>
      <c r="E154" t="s">
        <v>897</v>
      </c>
      <c r="F154" t="s">
        <v>901</v>
      </c>
      <c r="G154" t="s">
        <v>910</v>
      </c>
      <c r="H154" t="s">
        <v>1088</v>
      </c>
      <c r="I154" t="s">
        <v>1379</v>
      </c>
      <c r="J154">
        <v>1</v>
      </c>
      <c r="K154" t="s">
        <v>1611</v>
      </c>
      <c r="L154" t="s">
        <v>1721</v>
      </c>
      <c r="M154">
        <v>16839</v>
      </c>
      <c r="N154" t="s">
        <v>1750</v>
      </c>
      <c r="O154" t="s">
        <v>1752</v>
      </c>
      <c r="P154" t="s">
        <v>1751</v>
      </c>
      <c r="Q154">
        <f t="shared" si="2"/>
        <v>202.87951807228916</v>
      </c>
    </row>
    <row r="155" spans="1:17" x14ac:dyDescent="0.3">
      <c r="A155" t="s">
        <v>166</v>
      </c>
      <c r="B155" t="s">
        <v>656</v>
      </c>
      <c r="C155">
        <v>85</v>
      </c>
      <c r="D155" t="s">
        <v>891</v>
      </c>
      <c r="E155" t="s">
        <v>900</v>
      </c>
      <c r="F155" t="s">
        <v>908</v>
      </c>
      <c r="G155" t="s">
        <v>921</v>
      </c>
      <c r="H155" t="s">
        <v>1089</v>
      </c>
      <c r="I155" t="s">
        <v>1130</v>
      </c>
      <c r="J155">
        <v>14</v>
      </c>
      <c r="K155" t="s">
        <v>1612</v>
      </c>
      <c r="L155" t="s">
        <v>1728</v>
      </c>
      <c r="M155">
        <v>384001</v>
      </c>
      <c r="N155" t="s">
        <v>1751</v>
      </c>
      <c r="O155" t="s">
        <v>1753</v>
      </c>
      <c r="P155" t="s">
        <v>1751</v>
      </c>
      <c r="Q155">
        <f t="shared" si="2"/>
        <v>4626.5180722891564</v>
      </c>
    </row>
    <row r="156" spans="1:17" x14ac:dyDescent="0.3">
      <c r="A156" t="s">
        <v>167</v>
      </c>
      <c r="B156" t="s">
        <v>536</v>
      </c>
      <c r="C156">
        <v>71</v>
      </c>
      <c r="D156" t="s">
        <v>891</v>
      </c>
      <c r="E156" t="s">
        <v>899</v>
      </c>
      <c r="F156" t="s">
        <v>906</v>
      </c>
      <c r="G156" t="s">
        <v>919</v>
      </c>
      <c r="H156" t="s">
        <v>1090</v>
      </c>
      <c r="I156" t="s">
        <v>1202</v>
      </c>
      <c r="J156">
        <v>1</v>
      </c>
      <c r="K156" t="s">
        <v>1522</v>
      </c>
      <c r="L156" t="s">
        <v>1726</v>
      </c>
      <c r="M156">
        <v>26813</v>
      </c>
      <c r="N156" t="s">
        <v>1751</v>
      </c>
      <c r="O156" t="s">
        <v>1754</v>
      </c>
      <c r="P156" t="s">
        <v>1751</v>
      </c>
      <c r="Q156">
        <f t="shared" si="2"/>
        <v>323.04819277108436</v>
      </c>
    </row>
    <row r="157" spans="1:17" x14ac:dyDescent="0.3">
      <c r="A157" t="s">
        <v>168</v>
      </c>
      <c r="B157" t="s">
        <v>657</v>
      </c>
      <c r="C157">
        <v>60</v>
      </c>
      <c r="D157" t="s">
        <v>892</v>
      </c>
      <c r="E157" t="s">
        <v>893</v>
      </c>
      <c r="F157" t="s">
        <v>903</v>
      </c>
      <c r="G157" t="s">
        <v>951</v>
      </c>
      <c r="H157" t="s">
        <v>1091</v>
      </c>
      <c r="I157" t="s">
        <v>1223</v>
      </c>
      <c r="J157">
        <v>1</v>
      </c>
      <c r="K157" t="s">
        <v>1613</v>
      </c>
      <c r="L157" t="s">
        <v>1736</v>
      </c>
      <c r="M157">
        <v>24764</v>
      </c>
      <c r="N157" t="s">
        <v>1750</v>
      </c>
      <c r="O157" t="s">
        <v>1755</v>
      </c>
      <c r="P157" t="s">
        <v>1751</v>
      </c>
      <c r="Q157">
        <f t="shared" si="2"/>
        <v>298.36144578313252</v>
      </c>
    </row>
    <row r="158" spans="1:17" x14ac:dyDescent="0.3">
      <c r="A158" t="s">
        <v>169</v>
      </c>
      <c r="B158" t="s">
        <v>658</v>
      </c>
      <c r="C158">
        <v>76</v>
      </c>
      <c r="D158" t="s">
        <v>892</v>
      </c>
      <c r="E158" t="s">
        <v>897</v>
      </c>
      <c r="F158" t="s">
        <v>905</v>
      </c>
      <c r="G158" t="s">
        <v>933</v>
      </c>
      <c r="H158" t="s">
        <v>1025</v>
      </c>
      <c r="I158" t="s">
        <v>992</v>
      </c>
      <c r="J158">
        <v>4</v>
      </c>
      <c r="K158" t="s">
        <v>1614</v>
      </c>
      <c r="L158" t="s">
        <v>1729</v>
      </c>
      <c r="M158">
        <v>130500</v>
      </c>
      <c r="N158" t="s">
        <v>1750</v>
      </c>
      <c r="O158" t="s">
        <v>1753</v>
      </c>
      <c r="P158" t="s">
        <v>1751</v>
      </c>
      <c r="Q158">
        <f t="shared" si="2"/>
        <v>1572.2891566265059</v>
      </c>
    </row>
    <row r="159" spans="1:17" x14ac:dyDescent="0.3">
      <c r="A159" t="s">
        <v>170</v>
      </c>
      <c r="B159" t="s">
        <v>659</v>
      </c>
      <c r="C159">
        <v>28</v>
      </c>
      <c r="D159" t="s">
        <v>891</v>
      </c>
      <c r="E159" t="s">
        <v>895</v>
      </c>
      <c r="F159" t="s">
        <v>904</v>
      </c>
      <c r="G159" t="s">
        <v>937</v>
      </c>
      <c r="H159" t="s">
        <v>1092</v>
      </c>
      <c r="I159" t="s">
        <v>1290</v>
      </c>
      <c r="J159">
        <v>12</v>
      </c>
      <c r="K159" t="s">
        <v>1615</v>
      </c>
      <c r="L159" t="s">
        <v>1724</v>
      </c>
      <c r="M159">
        <v>200016</v>
      </c>
      <c r="N159" t="s">
        <v>1750</v>
      </c>
      <c r="O159" t="s">
        <v>1754</v>
      </c>
      <c r="P159" t="s">
        <v>1751</v>
      </c>
      <c r="Q159">
        <f t="shared" si="2"/>
        <v>2409.8313253012047</v>
      </c>
    </row>
    <row r="160" spans="1:17" x14ac:dyDescent="0.3">
      <c r="A160" t="s">
        <v>171</v>
      </c>
      <c r="B160" t="s">
        <v>537</v>
      </c>
      <c r="C160">
        <v>10</v>
      </c>
      <c r="D160" t="s">
        <v>891</v>
      </c>
      <c r="E160" t="s">
        <v>894</v>
      </c>
      <c r="F160" t="s">
        <v>901</v>
      </c>
      <c r="G160" t="s">
        <v>948</v>
      </c>
      <c r="H160" t="s">
        <v>1093</v>
      </c>
      <c r="I160" t="s">
        <v>1255</v>
      </c>
      <c r="J160">
        <v>1</v>
      </c>
      <c r="K160" t="s">
        <v>1616</v>
      </c>
      <c r="L160" t="s">
        <v>1733</v>
      </c>
      <c r="M160">
        <v>38249</v>
      </c>
      <c r="N160" t="s">
        <v>1750</v>
      </c>
      <c r="O160" t="s">
        <v>1753</v>
      </c>
      <c r="P160" t="s">
        <v>1751</v>
      </c>
      <c r="Q160">
        <f t="shared" si="2"/>
        <v>460.8313253012048</v>
      </c>
    </row>
    <row r="161" spans="1:17" x14ac:dyDescent="0.3">
      <c r="A161" t="s">
        <v>172</v>
      </c>
      <c r="B161" t="s">
        <v>660</v>
      </c>
      <c r="C161">
        <v>82</v>
      </c>
      <c r="D161" t="s">
        <v>891</v>
      </c>
      <c r="E161" t="s">
        <v>893</v>
      </c>
      <c r="F161" t="s">
        <v>903</v>
      </c>
      <c r="G161" t="s">
        <v>912</v>
      </c>
      <c r="H161" t="s">
        <v>1094</v>
      </c>
      <c r="I161" t="s">
        <v>1204</v>
      </c>
      <c r="J161">
        <v>4</v>
      </c>
      <c r="K161" t="s">
        <v>1617</v>
      </c>
      <c r="L161" t="s">
        <v>1734</v>
      </c>
      <c r="M161">
        <v>55760</v>
      </c>
      <c r="N161" t="s">
        <v>1751</v>
      </c>
      <c r="O161" t="s">
        <v>1753</v>
      </c>
      <c r="P161" t="s">
        <v>1751</v>
      </c>
      <c r="Q161">
        <f t="shared" si="2"/>
        <v>671.80722891566268</v>
      </c>
    </row>
    <row r="162" spans="1:17" x14ac:dyDescent="0.3">
      <c r="A162" t="s">
        <v>173</v>
      </c>
      <c r="B162" t="s">
        <v>661</v>
      </c>
      <c r="C162">
        <v>71</v>
      </c>
      <c r="D162" t="s">
        <v>891</v>
      </c>
      <c r="E162" t="s">
        <v>897</v>
      </c>
      <c r="F162" t="s">
        <v>909</v>
      </c>
      <c r="G162" t="s">
        <v>922</v>
      </c>
      <c r="H162" t="s">
        <v>954</v>
      </c>
      <c r="I162" t="s">
        <v>1094</v>
      </c>
      <c r="J162">
        <v>2</v>
      </c>
      <c r="K162" t="s">
        <v>1618</v>
      </c>
      <c r="L162" t="s">
        <v>1741</v>
      </c>
      <c r="M162">
        <v>71712</v>
      </c>
      <c r="N162" t="s">
        <v>1751</v>
      </c>
      <c r="O162" t="s">
        <v>1756</v>
      </c>
      <c r="P162" t="s">
        <v>1751</v>
      </c>
      <c r="Q162">
        <f t="shared" si="2"/>
        <v>864</v>
      </c>
    </row>
    <row r="163" spans="1:17" x14ac:dyDescent="0.3">
      <c r="A163" t="s">
        <v>174</v>
      </c>
      <c r="B163" t="s">
        <v>662</v>
      </c>
      <c r="C163">
        <v>32</v>
      </c>
      <c r="D163" t="s">
        <v>891</v>
      </c>
      <c r="E163" t="s">
        <v>898</v>
      </c>
      <c r="F163" t="s">
        <v>906</v>
      </c>
      <c r="G163" t="s">
        <v>943</v>
      </c>
      <c r="H163" t="s">
        <v>1085</v>
      </c>
      <c r="I163" t="s">
        <v>1192</v>
      </c>
      <c r="J163">
        <v>1</v>
      </c>
      <c r="K163" t="s">
        <v>1502</v>
      </c>
      <c r="L163" t="s">
        <v>1726</v>
      </c>
      <c r="M163">
        <v>32502</v>
      </c>
      <c r="N163" t="s">
        <v>1750</v>
      </c>
      <c r="O163" t="s">
        <v>1756</v>
      </c>
      <c r="P163" t="s">
        <v>1751</v>
      </c>
      <c r="Q163">
        <f t="shared" si="2"/>
        <v>391.59036144578312</v>
      </c>
    </row>
    <row r="164" spans="1:17" x14ac:dyDescent="0.3">
      <c r="A164" t="s">
        <v>175</v>
      </c>
      <c r="B164" t="s">
        <v>663</v>
      </c>
      <c r="C164">
        <v>25</v>
      </c>
      <c r="D164" t="s">
        <v>892</v>
      </c>
      <c r="E164" t="s">
        <v>900</v>
      </c>
      <c r="F164" t="s">
        <v>909</v>
      </c>
      <c r="G164" t="s">
        <v>920</v>
      </c>
      <c r="H164" t="s">
        <v>1095</v>
      </c>
      <c r="I164" t="s">
        <v>1275</v>
      </c>
      <c r="J164">
        <v>2</v>
      </c>
      <c r="K164" t="s">
        <v>1567</v>
      </c>
      <c r="L164" t="s">
        <v>1732</v>
      </c>
      <c r="M164">
        <v>77272</v>
      </c>
      <c r="N164" t="s">
        <v>1750</v>
      </c>
      <c r="O164" t="s">
        <v>1754</v>
      </c>
      <c r="P164" t="s">
        <v>1751</v>
      </c>
      <c r="Q164">
        <f t="shared" si="2"/>
        <v>930.98795180722891</v>
      </c>
    </row>
    <row r="165" spans="1:17" x14ac:dyDescent="0.3">
      <c r="A165" t="s">
        <v>176</v>
      </c>
      <c r="B165" t="s">
        <v>664</v>
      </c>
      <c r="C165">
        <v>27</v>
      </c>
      <c r="D165" t="s">
        <v>892</v>
      </c>
      <c r="E165" t="s">
        <v>895</v>
      </c>
      <c r="F165" t="s">
        <v>903</v>
      </c>
      <c r="G165" t="s">
        <v>930</v>
      </c>
      <c r="H165" t="s">
        <v>1096</v>
      </c>
      <c r="I165" t="s">
        <v>1146</v>
      </c>
      <c r="J165">
        <v>1</v>
      </c>
      <c r="K165" t="s">
        <v>1619</v>
      </c>
      <c r="L165" t="s">
        <v>1723</v>
      </c>
      <c r="M165">
        <v>15039</v>
      </c>
      <c r="N165" t="s">
        <v>1751</v>
      </c>
      <c r="O165" t="s">
        <v>1756</v>
      </c>
      <c r="P165" t="s">
        <v>1751</v>
      </c>
      <c r="Q165">
        <f t="shared" si="2"/>
        <v>181.19277108433735</v>
      </c>
    </row>
    <row r="166" spans="1:17" x14ac:dyDescent="0.3">
      <c r="A166" t="s">
        <v>177</v>
      </c>
      <c r="B166" t="s">
        <v>665</v>
      </c>
      <c r="C166">
        <v>35</v>
      </c>
      <c r="D166" t="s">
        <v>891</v>
      </c>
      <c r="E166" t="s">
        <v>897</v>
      </c>
      <c r="F166" t="s">
        <v>903</v>
      </c>
      <c r="G166" t="s">
        <v>926</v>
      </c>
      <c r="H166" t="s">
        <v>1097</v>
      </c>
      <c r="I166" t="s">
        <v>1380</v>
      </c>
      <c r="J166">
        <v>4</v>
      </c>
      <c r="K166" t="s">
        <v>1620</v>
      </c>
      <c r="L166" t="s">
        <v>1723</v>
      </c>
      <c r="M166">
        <v>99656</v>
      </c>
      <c r="N166" t="s">
        <v>1751</v>
      </c>
      <c r="O166" t="s">
        <v>1753</v>
      </c>
      <c r="P166" t="s">
        <v>1751</v>
      </c>
      <c r="Q166">
        <f t="shared" si="2"/>
        <v>1200.6746987951808</v>
      </c>
    </row>
    <row r="167" spans="1:17" x14ac:dyDescent="0.3">
      <c r="A167" t="s">
        <v>178</v>
      </c>
      <c r="B167" t="s">
        <v>666</v>
      </c>
      <c r="C167">
        <v>62</v>
      </c>
      <c r="D167" t="s">
        <v>892</v>
      </c>
      <c r="E167" t="s">
        <v>893</v>
      </c>
      <c r="F167" t="s">
        <v>906</v>
      </c>
      <c r="G167" t="s">
        <v>915</v>
      </c>
      <c r="H167" t="s">
        <v>1098</v>
      </c>
      <c r="I167" t="s">
        <v>1185</v>
      </c>
      <c r="J167">
        <v>5</v>
      </c>
      <c r="K167" t="s">
        <v>1621</v>
      </c>
      <c r="L167" t="s">
        <v>1730</v>
      </c>
      <c r="M167">
        <v>170839</v>
      </c>
      <c r="N167" t="s">
        <v>1750</v>
      </c>
      <c r="O167" t="s">
        <v>1754</v>
      </c>
      <c r="P167" t="s">
        <v>1751</v>
      </c>
      <c r="Q167">
        <f t="shared" si="2"/>
        <v>2058.3012048192772</v>
      </c>
    </row>
    <row r="168" spans="1:17" x14ac:dyDescent="0.3">
      <c r="A168" t="s">
        <v>179</v>
      </c>
      <c r="B168" t="s">
        <v>667</v>
      </c>
      <c r="C168">
        <v>66</v>
      </c>
      <c r="D168" t="s">
        <v>891</v>
      </c>
      <c r="E168" t="s">
        <v>894</v>
      </c>
      <c r="F168" t="s">
        <v>909</v>
      </c>
      <c r="G168" t="s">
        <v>922</v>
      </c>
      <c r="H168" t="s">
        <v>1099</v>
      </c>
      <c r="I168" t="s">
        <v>1256</v>
      </c>
      <c r="J168">
        <v>1</v>
      </c>
      <c r="K168" t="s">
        <v>1504</v>
      </c>
      <c r="L168" t="s">
        <v>1732</v>
      </c>
      <c r="M168">
        <v>35187</v>
      </c>
      <c r="N168" t="s">
        <v>1750</v>
      </c>
      <c r="O168" t="s">
        <v>1754</v>
      </c>
      <c r="P168" t="s">
        <v>1751</v>
      </c>
      <c r="Q168">
        <f t="shared" si="2"/>
        <v>423.93975903614455</v>
      </c>
    </row>
    <row r="169" spans="1:17" x14ac:dyDescent="0.3">
      <c r="A169" t="s">
        <v>180</v>
      </c>
      <c r="B169" t="s">
        <v>668</v>
      </c>
      <c r="C169">
        <v>38</v>
      </c>
      <c r="D169" t="s">
        <v>891</v>
      </c>
      <c r="E169" t="s">
        <v>893</v>
      </c>
      <c r="F169" t="s">
        <v>902</v>
      </c>
      <c r="G169" t="s">
        <v>949</v>
      </c>
      <c r="H169" t="s">
        <v>1100</v>
      </c>
      <c r="I169" t="s">
        <v>1006</v>
      </c>
      <c r="J169">
        <v>1</v>
      </c>
      <c r="K169" t="s">
        <v>1622</v>
      </c>
      <c r="L169" t="s">
        <v>1722</v>
      </c>
      <c r="M169">
        <v>33406</v>
      </c>
      <c r="N169" t="s">
        <v>1750</v>
      </c>
      <c r="O169" t="s">
        <v>1754</v>
      </c>
      <c r="P169" t="s">
        <v>1751</v>
      </c>
      <c r="Q169">
        <f t="shared" si="2"/>
        <v>402.48192771084337</v>
      </c>
    </row>
    <row r="170" spans="1:17" x14ac:dyDescent="0.3">
      <c r="A170" t="s">
        <v>181</v>
      </c>
      <c r="B170" t="s">
        <v>669</v>
      </c>
      <c r="C170">
        <v>16</v>
      </c>
      <c r="D170" t="s">
        <v>892</v>
      </c>
      <c r="E170" t="s">
        <v>894</v>
      </c>
      <c r="F170" t="s">
        <v>901</v>
      </c>
      <c r="G170" t="s">
        <v>943</v>
      </c>
      <c r="H170" t="s">
        <v>1101</v>
      </c>
      <c r="I170" t="s">
        <v>1161</v>
      </c>
      <c r="J170">
        <v>5</v>
      </c>
      <c r="K170" t="s">
        <v>1623</v>
      </c>
      <c r="L170" t="s">
        <v>1721</v>
      </c>
      <c r="M170">
        <v>211543</v>
      </c>
      <c r="N170" t="s">
        <v>1751</v>
      </c>
      <c r="O170" t="s">
        <v>1753</v>
      </c>
      <c r="P170" t="s">
        <v>1751</v>
      </c>
      <c r="Q170">
        <f t="shared" si="2"/>
        <v>2548.7108433734938</v>
      </c>
    </row>
    <row r="171" spans="1:17" x14ac:dyDescent="0.3">
      <c r="A171" t="s">
        <v>182</v>
      </c>
      <c r="B171" t="s">
        <v>670</v>
      </c>
      <c r="C171">
        <v>61</v>
      </c>
      <c r="D171" t="s">
        <v>892</v>
      </c>
      <c r="E171" t="s">
        <v>893</v>
      </c>
      <c r="F171" t="s">
        <v>908</v>
      </c>
      <c r="G171" t="s">
        <v>936</v>
      </c>
      <c r="H171" t="s">
        <v>1102</v>
      </c>
      <c r="I171" t="s">
        <v>977</v>
      </c>
      <c r="J171">
        <v>2</v>
      </c>
      <c r="K171" t="s">
        <v>1593</v>
      </c>
      <c r="L171" t="s">
        <v>1737</v>
      </c>
      <c r="M171">
        <v>50606</v>
      </c>
      <c r="N171" t="s">
        <v>1750</v>
      </c>
      <c r="O171" t="s">
        <v>1752</v>
      </c>
      <c r="P171" t="s">
        <v>1751</v>
      </c>
      <c r="Q171">
        <f t="shared" si="2"/>
        <v>609.71084337349396</v>
      </c>
    </row>
    <row r="172" spans="1:17" x14ac:dyDescent="0.3">
      <c r="A172" t="s">
        <v>183</v>
      </c>
      <c r="B172" t="s">
        <v>671</v>
      </c>
      <c r="C172">
        <v>44</v>
      </c>
      <c r="D172" t="s">
        <v>892</v>
      </c>
      <c r="E172" t="s">
        <v>898</v>
      </c>
      <c r="F172" t="s">
        <v>907</v>
      </c>
      <c r="G172" t="s">
        <v>916</v>
      </c>
      <c r="H172" t="s">
        <v>1103</v>
      </c>
      <c r="I172" t="s">
        <v>1381</v>
      </c>
      <c r="J172">
        <v>2</v>
      </c>
      <c r="K172" t="s">
        <v>1624</v>
      </c>
      <c r="L172" t="s">
        <v>1727</v>
      </c>
      <c r="M172">
        <v>95106</v>
      </c>
      <c r="N172" t="s">
        <v>1750</v>
      </c>
      <c r="O172" t="s">
        <v>1754</v>
      </c>
      <c r="P172" t="s">
        <v>1751</v>
      </c>
      <c r="Q172">
        <f t="shared" si="2"/>
        <v>1145.8554216867469</v>
      </c>
    </row>
    <row r="173" spans="1:17" x14ac:dyDescent="0.3">
      <c r="A173" t="s">
        <v>184</v>
      </c>
      <c r="B173" t="s">
        <v>621</v>
      </c>
      <c r="C173">
        <v>85</v>
      </c>
      <c r="D173" t="s">
        <v>891</v>
      </c>
      <c r="E173" t="s">
        <v>895</v>
      </c>
      <c r="F173" t="s">
        <v>906</v>
      </c>
      <c r="G173" t="s">
        <v>910</v>
      </c>
      <c r="H173" t="s">
        <v>1104</v>
      </c>
      <c r="I173" t="s">
        <v>1243</v>
      </c>
      <c r="J173">
        <v>1</v>
      </c>
      <c r="K173" t="s">
        <v>1609</v>
      </c>
      <c r="L173" t="s">
        <v>1739</v>
      </c>
      <c r="M173">
        <v>18732</v>
      </c>
      <c r="N173" t="s">
        <v>1750</v>
      </c>
      <c r="O173" t="s">
        <v>1753</v>
      </c>
      <c r="P173" t="s">
        <v>1751</v>
      </c>
      <c r="Q173">
        <f t="shared" si="2"/>
        <v>225.68674698795181</v>
      </c>
    </row>
    <row r="174" spans="1:17" x14ac:dyDescent="0.3">
      <c r="A174" t="s">
        <v>185</v>
      </c>
      <c r="B174" t="s">
        <v>672</v>
      </c>
      <c r="C174">
        <v>12</v>
      </c>
      <c r="D174" t="s">
        <v>892</v>
      </c>
      <c r="E174" t="s">
        <v>894</v>
      </c>
      <c r="F174" t="s">
        <v>901</v>
      </c>
      <c r="G174" t="s">
        <v>943</v>
      </c>
      <c r="H174" t="s">
        <v>1083</v>
      </c>
      <c r="I174" t="s">
        <v>1332</v>
      </c>
      <c r="J174">
        <v>2</v>
      </c>
      <c r="K174" t="s">
        <v>1540</v>
      </c>
      <c r="L174" t="s">
        <v>1733</v>
      </c>
      <c r="M174">
        <v>66017</v>
      </c>
      <c r="N174" t="s">
        <v>1750</v>
      </c>
      <c r="O174" t="s">
        <v>1754</v>
      </c>
      <c r="P174" t="s">
        <v>1751</v>
      </c>
      <c r="Q174">
        <f t="shared" si="2"/>
        <v>795.38554216867465</v>
      </c>
    </row>
    <row r="175" spans="1:17" x14ac:dyDescent="0.3">
      <c r="A175" t="s">
        <v>186</v>
      </c>
      <c r="B175" t="s">
        <v>673</v>
      </c>
      <c r="C175">
        <v>48</v>
      </c>
      <c r="D175" t="s">
        <v>891</v>
      </c>
      <c r="E175" t="s">
        <v>894</v>
      </c>
      <c r="F175" t="s">
        <v>907</v>
      </c>
      <c r="G175" t="s">
        <v>952</v>
      </c>
      <c r="H175" t="s">
        <v>971</v>
      </c>
      <c r="I175" t="s">
        <v>1071</v>
      </c>
      <c r="J175">
        <v>11</v>
      </c>
      <c r="K175" t="s">
        <v>1557</v>
      </c>
      <c r="L175" t="s">
        <v>1749</v>
      </c>
      <c r="M175">
        <v>155657</v>
      </c>
      <c r="N175" t="s">
        <v>1751</v>
      </c>
      <c r="O175" t="s">
        <v>1755</v>
      </c>
      <c r="P175" t="s">
        <v>1751</v>
      </c>
      <c r="Q175">
        <f t="shared" si="2"/>
        <v>1875.3855421686746</v>
      </c>
    </row>
    <row r="176" spans="1:17" x14ac:dyDescent="0.3">
      <c r="A176" t="s">
        <v>187</v>
      </c>
      <c r="B176" t="s">
        <v>674</v>
      </c>
      <c r="C176">
        <v>66</v>
      </c>
      <c r="D176" t="s">
        <v>891</v>
      </c>
      <c r="E176" t="s">
        <v>897</v>
      </c>
      <c r="F176" t="s">
        <v>906</v>
      </c>
      <c r="G176" t="s">
        <v>943</v>
      </c>
      <c r="H176" t="s">
        <v>989</v>
      </c>
      <c r="I176" t="s">
        <v>1330</v>
      </c>
      <c r="J176">
        <v>1</v>
      </c>
      <c r="K176" t="s">
        <v>1502</v>
      </c>
      <c r="L176" t="s">
        <v>1739</v>
      </c>
      <c r="M176">
        <v>24835</v>
      </c>
      <c r="N176" t="s">
        <v>1750</v>
      </c>
      <c r="O176" t="s">
        <v>1753</v>
      </c>
      <c r="P176" t="s">
        <v>1751</v>
      </c>
      <c r="Q176">
        <f t="shared" si="2"/>
        <v>299.2168674698795</v>
      </c>
    </row>
    <row r="177" spans="1:17" x14ac:dyDescent="0.3">
      <c r="A177" t="s">
        <v>188</v>
      </c>
      <c r="B177" t="s">
        <v>675</v>
      </c>
      <c r="C177">
        <v>13</v>
      </c>
      <c r="D177" t="s">
        <v>891</v>
      </c>
      <c r="E177" t="s">
        <v>897</v>
      </c>
      <c r="F177" t="s">
        <v>901</v>
      </c>
      <c r="G177" t="s">
        <v>942</v>
      </c>
      <c r="H177" t="s">
        <v>1096</v>
      </c>
      <c r="I177" t="s">
        <v>1313</v>
      </c>
      <c r="J177">
        <v>2</v>
      </c>
      <c r="K177" t="s">
        <v>1616</v>
      </c>
      <c r="L177" t="s">
        <v>1733</v>
      </c>
      <c r="M177">
        <v>88838</v>
      </c>
      <c r="N177" t="s">
        <v>1750</v>
      </c>
      <c r="O177" t="s">
        <v>1754</v>
      </c>
      <c r="P177" t="s">
        <v>1750</v>
      </c>
      <c r="Q177">
        <f t="shared" si="2"/>
        <v>1070.3373493975903</v>
      </c>
    </row>
    <row r="178" spans="1:17" x14ac:dyDescent="0.3">
      <c r="A178" t="s">
        <v>189</v>
      </c>
      <c r="B178" t="s">
        <v>676</v>
      </c>
      <c r="C178">
        <v>12</v>
      </c>
      <c r="D178" t="s">
        <v>892</v>
      </c>
      <c r="E178" t="s">
        <v>894</v>
      </c>
      <c r="F178" t="s">
        <v>901</v>
      </c>
      <c r="G178" t="s">
        <v>942</v>
      </c>
      <c r="H178" t="s">
        <v>1105</v>
      </c>
      <c r="I178" t="s">
        <v>1382</v>
      </c>
      <c r="J178">
        <v>1</v>
      </c>
      <c r="K178" t="s">
        <v>1623</v>
      </c>
      <c r="L178" t="s">
        <v>1721</v>
      </c>
      <c r="M178">
        <v>28481</v>
      </c>
      <c r="N178" t="s">
        <v>1750</v>
      </c>
      <c r="O178" t="s">
        <v>1753</v>
      </c>
      <c r="P178" t="s">
        <v>1751</v>
      </c>
      <c r="Q178">
        <f t="shared" si="2"/>
        <v>343.14457831325302</v>
      </c>
    </row>
    <row r="179" spans="1:17" x14ac:dyDescent="0.3">
      <c r="A179" t="s">
        <v>190</v>
      </c>
      <c r="B179" t="s">
        <v>677</v>
      </c>
      <c r="C179">
        <v>74</v>
      </c>
      <c r="D179" t="s">
        <v>892</v>
      </c>
      <c r="E179" t="s">
        <v>894</v>
      </c>
      <c r="F179" t="s">
        <v>907</v>
      </c>
      <c r="G179" t="s">
        <v>938</v>
      </c>
      <c r="H179" t="s">
        <v>1106</v>
      </c>
      <c r="I179" t="s">
        <v>1383</v>
      </c>
      <c r="J179">
        <v>10</v>
      </c>
      <c r="K179" t="s">
        <v>1624</v>
      </c>
      <c r="L179" t="s">
        <v>1749</v>
      </c>
      <c r="M179">
        <v>364235</v>
      </c>
      <c r="N179" t="s">
        <v>1751</v>
      </c>
      <c r="O179" t="s">
        <v>1754</v>
      </c>
      <c r="P179" t="s">
        <v>1751</v>
      </c>
      <c r="Q179">
        <f t="shared" si="2"/>
        <v>4388.3734939759033</v>
      </c>
    </row>
    <row r="180" spans="1:17" x14ac:dyDescent="0.3">
      <c r="A180" t="s">
        <v>191</v>
      </c>
      <c r="B180" t="s">
        <v>678</v>
      </c>
      <c r="C180">
        <v>25</v>
      </c>
      <c r="D180" t="s">
        <v>891</v>
      </c>
      <c r="E180" t="s">
        <v>893</v>
      </c>
      <c r="F180" t="s">
        <v>904</v>
      </c>
      <c r="G180" t="s">
        <v>946</v>
      </c>
      <c r="H180" t="s">
        <v>1107</v>
      </c>
      <c r="I180" t="s">
        <v>1384</v>
      </c>
      <c r="J180">
        <v>1</v>
      </c>
      <c r="K180" t="s">
        <v>1538</v>
      </c>
      <c r="L180" t="s">
        <v>1724</v>
      </c>
      <c r="M180">
        <v>21530</v>
      </c>
      <c r="N180" t="s">
        <v>1750</v>
      </c>
      <c r="O180" t="s">
        <v>1756</v>
      </c>
      <c r="P180" t="s">
        <v>1751</v>
      </c>
      <c r="Q180">
        <f t="shared" si="2"/>
        <v>259.39759036144579</v>
      </c>
    </row>
    <row r="181" spans="1:17" x14ac:dyDescent="0.3">
      <c r="A181" t="s">
        <v>192</v>
      </c>
      <c r="B181" t="s">
        <v>679</v>
      </c>
      <c r="C181">
        <v>61</v>
      </c>
      <c r="D181" t="s">
        <v>892</v>
      </c>
      <c r="E181" t="s">
        <v>894</v>
      </c>
      <c r="F181" t="s">
        <v>902</v>
      </c>
      <c r="G181" t="s">
        <v>911</v>
      </c>
      <c r="H181" t="s">
        <v>1108</v>
      </c>
      <c r="I181" t="s">
        <v>1385</v>
      </c>
      <c r="J181">
        <v>5</v>
      </c>
      <c r="K181" t="s">
        <v>1585</v>
      </c>
      <c r="L181" t="s">
        <v>1744</v>
      </c>
      <c r="M181">
        <v>239318</v>
      </c>
      <c r="N181" t="s">
        <v>1750</v>
      </c>
      <c r="O181" t="s">
        <v>1753</v>
      </c>
      <c r="P181" t="s">
        <v>1750</v>
      </c>
      <c r="Q181">
        <f t="shared" si="2"/>
        <v>2883.3493975903616</v>
      </c>
    </row>
    <row r="182" spans="1:17" x14ac:dyDescent="0.3">
      <c r="A182" t="s">
        <v>193</v>
      </c>
      <c r="B182" t="s">
        <v>680</v>
      </c>
      <c r="C182">
        <v>48</v>
      </c>
      <c r="D182" t="s">
        <v>892</v>
      </c>
      <c r="E182" t="s">
        <v>893</v>
      </c>
      <c r="F182" t="s">
        <v>905</v>
      </c>
      <c r="G182" t="s">
        <v>939</v>
      </c>
      <c r="H182" t="s">
        <v>1109</v>
      </c>
      <c r="I182" t="s">
        <v>1386</v>
      </c>
      <c r="J182">
        <v>3</v>
      </c>
      <c r="K182" t="s">
        <v>1625</v>
      </c>
      <c r="L182" t="s">
        <v>1729</v>
      </c>
      <c r="M182">
        <v>45501</v>
      </c>
      <c r="N182" t="s">
        <v>1751</v>
      </c>
      <c r="O182" t="s">
        <v>1753</v>
      </c>
      <c r="P182" t="s">
        <v>1751</v>
      </c>
      <c r="Q182">
        <f t="shared" si="2"/>
        <v>548.20481927710841</v>
      </c>
    </row>
    <row r="183" spans="1:17" x14ac:dyDescent="0.3">
      <c r="A183" t="s">
        <v>194</v>
      </c>
      <c r="B183" t="s">
        <v>614</v>
      </c>
      <c r="C183">
        <v>2</v>
      </c>
      <c r="D183" t="s">
        <v>892</v>
      </c>
      <c r="E183" t="s">
        <v>897</v>
      </c>
      <c r="F183" t="s">
        <v>901</v>
      </c>
      <c r="G183" t="s">
        <v>910</v>
      </c>
      <c r="H183" t="s">
        <v>1110</v>
      </c>
      <c r="I183" t="s">
        <v>1193</v>
      </c>
      <c r="J183">
        <v>8</v>
      </c>
      <c r="K183" t="s">
        <v>1611</v>
      </c>
      <c r="L183" t="s">
        <v>1733</v>
      </c>
      <c r="M183">
        <v>318826</v>
      </c>
      <c r="N183" t="s">
        <v>1750</v>
      </c>
      <c r="O183" t="s">
        <v>1752</v>
      </c>
      <c r="P183" t="s">
        <v>1751</v>
      </c>
      <c r="Q183">
        <f t="shared" si="2"/>
        <v>3841.2771084337351</v>
      </c>
    </row>
    <row r="184" spans="1:17" x14ac:dyDescent="0.3">
      <c r="A184" t="s">
        <v>195</v>
      </c>
      <c r="B184" t="s">
        <v>681</v>
      </c>
      <c r="C184">
        <v>60</v>
      </c>
      <c r="D184" t="s">
        <v>891</v>
      </c>
      <c r="E184" t="s">
        <v>894</v>
      </c>
      <c r="F184" t="s">
        <v>905</v>
      </c>
      <c r="G184" t="s">
        <v>914</v>
      </c>
      <c r="H184" t="s">
        <v>1111</v>
      </c>
      <c r="I184" t="s">
        <v>959</v>
      </c>
      <c r="J184">
        <v>1</v>
      </c>
      <c r="K184" t="s">
        <v>1626</v>
      </c>
      <c r="L184" t="s">
        <v>1725</v>
      </c>
      <c r="M184">
        <v>25493</v>
      </c>
      <c r="N184" t="s">
        <v>1751</v>
      </c>
      <c r="O184" t="s">
        <v>1754</v>
      </c>
      <c r="P184" t="s">
        <v>1751</v>
      </c>
      <c r="Q184">
        <f t="shared" si="2"/>
        <v>307.14457831325302</v>
      </c>
    </row>
    <row r="185" spans="1:17" x14ac:dyDescent="0.3">
      <c r="A185" t="s">
        <v>196</v>
      </c>
      <c r="B185" t="s">
        <v>682</v>
      </c>
      <c r="C185">
        <v>22</v>
      </c>
      <c r="D185" t="s">
        <v>892</v>
      </c>
      <c r="E185" t="s">
        <v>894</v>
      </c>
      <c r="F185" t="s">
        <v>905</v>
      </c>
      <c r="G185" t="s">
        <v>933</v>
      </c>
      <c r="H185" t="s">
        <v>1112</v>
      </c>
      <c r="I185" t="s">
        <v>1387</v>
      </c>
      <c r="J185">
        <v>2</v>
      </c>
      <c r="K185" t="s">
        <v>1597</v>
      </c>
      <c r="L185" t="s">
        <v>1740</v>
      </c>
      <c r="M185">
        <v>12601</v>
      </c>
      <c r="N185" t="s">
        <v>1751</v>
      </c>
      <c r="O185" t="s">
        <v>1754</v>
      </c>
      <c r="P185" t="s">
        <v>1751</v>
      </c>
      <c r="Q185">
        <f t="shared" si="2"/>
        <v>151.81927710843374</v>
      </c>
    </row>
    <row r="186" spans="1:17" x14ac:dyDescent="0.3">
      <c r="A186" t="s">
        <v>197</v>
      </c>
      <c r="B186" t="s">
        <v>683</v>
      </c>
      <c r="C186">
        <v>67</v>
      </c>
      <c r="D186" t="s">
        <v>892</v>
      </c>
      <c r="E186" t="s">
        <v>894</v>
      </c>
      <c r="F186" t="s">
        <v>908</v>
      </c>
      <c r="G186" t="s">
        <v>936</v>
      </c>
      <c r="H186" t="s">
        <v>1113</v>
      </c>
      <c r="I186" t="s">
        <v>990</v>
      </c>
      <c r="J186">
        <v>1</v>
      </c>
      <c r="K186" t="s">
        <v>1524</v>
      </c>
      <c r="L186" t="s">
        <v>1737</v>
      </c>
      <c r="M186">
        <v>57235</v>
      </c>
      <c r="N186" t="s">
        <v>1750</v>
      </c>
      <c r="O186" t="s">
        <v>1754</v>
      </c>
      <c r="P186" t="s">
        <v>1751</v>
      </c>
      <c r="Q186">
        <f t="shared" si="2"/>
        <v>689.57831325301208</v>
      </c>
    </row>
    <row r="187" spans="1:17" x14ac:dyDescent="0.3">
      <c r="A187" t="s">
        <v>198</v>
      </c>
      <c r="B187" t="s">
        <v>628</v>
      </c>
      <c r="C187">
        <v>50</v>
      </c>
      <c r="D187" t="s">
        <v>891</v>
      </c>
      <c r="E187" t="s">
        <v>898</v>
      </c>
      <c r="F187" t="s">
        <v>902</v>
      </c>
      <c r="G187" t="s">
        <v>925</v>
      </c>
      <c r="H187" t="s">
        <v>1114</v>
      </c>
      <c r="I187" t="s">
        <v>1070</v>
      </c>
      <c r="J187">
        <v>12</v>
      </c>
      <c r="K187" t="s">
        <v>1544</v>
      </c>
      <c r="L187" t="s">
        <v>1746</v>
      </c>
      <c r="M187">
        <v>500738</v>
      </c>
      <c r="N187" t="s">
        <v>1751</v>
      </c>
      <c r="O187" t="s">
        <v>1752</v>
      </c>
      <c r="P187" t="s">
        <v>1751</v>
      </c>
      <c r="Q187">
        <f t="shared" si="2"/>
        <v>6032.9879518072294</v>
      </c>
    </row>
    <row r="188" spans="1:17" x14ac:dyDescent="0.3">
      <c r="A188" t="s">
        <v>199</v>
      </c>
      <c r="B188" t="s">
        <v>684</v>
      </c>
      <c r="C188">
        <v>12</v>
      </c>
      <c r="D188" t="s">
        <v>892</v>
      </c>
      <c r="E188" t="s">
        <v>897</v>
      </c>
      <c r="F188" t="s">
        <v>901</v>
      </c>
      <c r="G188" t="s">
        <v>942</v>
      </c>
      <c r="H188" t="s">
        <v>1115</v>
      </c>
      <c r="I188" t="s">
        <v>1236</v>
      </c>
      <c r="J188">
        <v>6</v>
      </c>
      <c r="K188" t="s">
        <v>1509</v>
      </c>
      <c r="L188" t="s">
        <v>1745</v>
      </c>
      <c r="M188">
        <v>218176</v>
      </c>
      <c r="N188" t="s">
        <v>1750</v>
      </c>
      <c r="O188" t="s">
        <v>1752</v>
      </c>
      <c r="P188" t="s">
        <v>1751</v>
      </c>
      <c r="Q188">
        <f t="shared" si="2"/>
        <v>2628.6265060240962</v>
      </c>
    </row>
    <row r="189" spans="1:17" x14ac:dyDescent="0.3">
      <c r="A189" t="s">
        <v>200</v>
      </c>
      <c r="B189" t="s">
        <v>685</v>
      </c>
      <c r="C189">
        <v>37</v>
      </c>
      <c r="D189" t="s">
        <v>891</v>
      </c>
      <c r="E189" t="s">
        <v>897</v>
      </c>
      <c r="F189" t="s">
        <v>903</v>
      </c>
      <c r="G189" t="s">
        <v>912</v>
      </c>
      <c r="H189" t="s">
        <v>1113</v>
      </c>
      <c r="I189" t="s">
        <v>990</v>
      </c>
      <c r="J189">
        <v>1</v>
      </c>
      <c r="K189" t="s">
        <v>1605</v>
      </c>
      <c r="L189" t="s">
        <v>1734</v>
      </c>
      <c r="M189">
        <v>15569</v>
      </c>
      <c r="N189" t="s">
        <v>1750</v>
      </c>
      <c r="O189" t="s">
        <v>1754</v>
      </c>
      <c r="P189" t="s">
        <v>1751</v>
      </c>
      <c r="Q189">
        <f t="shared" si="2"/>
        <v>187.57831325301206</v>
      </c>
    </row>
    <row r="190" spans="1:17" x14ac:dyDescent="0.3">
      <c r="A190" t="s">
        <v>201</v>
      </c>
      <c r="B190" t="s">
        <v>539</v>
      </c>
      <c r="C190">
        <v>75</v>
      </c>
      <c r="D190" t="s">
        <v>892</v>
      </c>
      <c r="E190" t="s">
        <v>893</v>
      </c>
      <c r="F190" t="s">
        <v>905</v>
      </c>
      <c r="G190" t="s">
        <v>929</v>
      </c>
      <c r="H190" t="s">
        <v>1116</v>
      </c>
      <c r="I190" t="s">
        <v>1286</v>
      </c>
      <c r="J190">
        <v>7</v>
      </c>
      <c r="K190" t="s">
        <v>1627</v>
      </c>
      <c r="L190" t="s">
        <v>1725</v>
      </c>
      <c r="M190">
        <v>146966</v>
      </c>
      <c r="N190" t="s">
        <v>1750</v>
      </c>
      <c r="O190" t="s">
        <v>1754</v>
      </c>
      <c r="P190" t="s">
        <v>1751</v>
      </c>
      <c r="Q190">
        <f t="shared" si="2"/>
        <v>1770.6746987951808</v>
      </c>
    </row>
    <row r="191" spans="1:17" x14ac:dyDescent="0.3">
      <c r="A191" t="s">
        <v>202</v>
      </c>
      <c r="B191" t="s">
        <v>686</v>
      </c>
      <c r="C191">
        <v>28</v>
      </c>
      <c r="D191" t="s">
        <v>892</v>
      </c>
      <c r="E191" t="s">
        <v>893</v>
      </c>
      <c r="F191" t="s">
        <v>903</v>
      </c>
      <c r="G191" t="s">
        <v>926</v>
      </c>
      <c r="H191" t="s">
        <v>1117</v>
      </c>
      <c r="I191" t="s">
        <v>1359</v>
      </c>
      <c r="J191">
        <v>6</v>
      </c>
      <c r="K191" t="s">
        <v>1628</v>
      </c>
      <c r="L191" t="s">
        <v>1734</v>
      </c>
      <c r="M191">
        <v>134950</v>
      </c>
      <c r="N191" t="s">
        <v>1750</v>
      </c>
      <c r="O191" t="s">
        <v>1752</v>
      </c>
      <c r="P191" t="s">
        <v>1751</v>
      </c>
      <c r="Q191">
        <f t="shared" si="2"/>
        <v>1625.9036144578313</v>
      </c>
    </row>
    <row r="192" spans="1:17" x14ac:dyDescent="0.3">
      <c r="A192" t="s">
        <v>203</v>
      </c>
      <c r="B192" t="s">
        <v>687</v>
      </c>
      <c r="C192">
        <v>53</v>
      </c>
      <c r="D192" t="s">
        <v>892</v>
      </c>
      <c r="E192" t="s">
        <v>893</v>
      </c>
      <c r="F192" t="s">
        <v>905</v>
      </c>
      <c r="G192" t="s">
        <v>929</v>
      </c>
      <c r="H192" t="s">
        <v>1118</v>
      </c>
      <c r="I192" t="s">
        <v>1388</v>
      </c>
      <c r="J192">
        <v>5</v>
      </c>
      <c r="K192" t="s">
        <v>1629</v>
      </c>
      <c r="L192" t="s">
        <v>1725</v>
      </c>
      <c r="M192">
        <v>119241</v>
      </c>
      <c r="N192" t="s">
        <v>1751</v>
      </c>
      <c r="O192" t="s">
        <v>1753</v>
      </c>
      <c r="P192" t="s">
        <v>1751</v>
      </c>
      <c r="Q192">
        <f t="shared" si="2"/>
        <v>1436.6385542168675</v>
      </c>
    </row>
    <row r="193" spans="1:17" x14ac:dyDescent="0.3">
      <c r="A193" t="s">
        <v>204</v>
      </c>
      <c r="B193" t="s">
        <v>571</v>
      </c>
      <c r="C193">
        <v>4</v>
      </c>
      <c r="D193" t="s">
        <v>892</v>
      </c>
      <c r="E193" t="s">
        <v>898</v>
      </c>
      <c r="F193" t="s">
        <v>901</v>
      </c>
      <c r="G193" t="s">
        <v>948</v>
      </c>
      <c r="H193" t="s">
        <v>1119</v>
      </c>
      <c r="I193" t="s">
        <v>1389</v>
      </c>
      <c r="J193">
        <v>2</v>
      </c>
      <c r="K193" t="s">
        <v>1630</v>
      </c>
      <c r="L193" t="s">
        <v>1721</v>
      </c>
      <c r="M193">
        <v>96242</v>
      </c>
      <c r="N193" t="s">
        <v>1750</v>
      </c>
      <c r="O193" t="s">
        <v>1752</v>
      </c>
      <c r="P193" t="s">
        <v>1751</v>
      </c>
      <c r="Q193">
        <f t="shared" si="2"/>
        <v>1159.5421686746988</v>
      </c>
    </row>
    <row r="194" spans="1:17" x14ac:dyDescent="0.3">
      <c r="A194" t="s">
        <v>205</v>
      </c>
      <c r="B194" t="s">
        <v>688</v>
      </c>
      <c r="C194">
        <v>69</v>
      </c>
      <c r="D194" t="s">
        <v>892</v>
      </c>
      <c r="E194" t="s">
        <v>898</v>
      </c>
      <c r="F194" t="s">
        <v>908</v>
      </c>
      <c r="G194" t="s">
        <v>928</v>
      </c>
      <c r="H194" t="s">
        <v>1120</v>
      </c>
      <c r="I194" t="s">
        <v>1390</v>
      </c>
      <c r="J194">
        <v>1</v>
      </c>
      <c r="K194" t="s">
        <v>1631</v>
      </c>
      <c r="L194" t="s">
        <v>1735</v>
      </c>
      <c r="M194">
        <v>51856</v>
      </c>
      <c r="N194" t="s">
        <v>1750</v>
      </c>
      <c r="O194" t="s">
        <v>1752</v>
      </c>
      <c r="P194" t="s">
        <v>1751</v>
      </c>
      <c r="Q194">
        <f t="shared" si="2"/>
        <v>624.77108433734941</v>
      </c>
    </row>
    <row r="195" spans="1:17" x14ac:dyDescent="0.3">
      <c r="A195" t="s">
        <v>206</v>
      </c>
      <c r="B195" t="s">
        <v>689</v>
      </c>
      <c r="C195">
        <v>78</v>
      </c>
      <c r="D195" t="s">
        <v>892</v>
      </c>
      <c r="E195" t="s">
        <v>897</v>
      </c>
      <c r="F195" t="s">
        <v>907</v>
      </c>
      <c r="G195" t="s">
        <v>916</v>
      </c>
      <c r="H195" t="s">
        <v>1121</v>
      </c>
      <c r="I195" t="s">
        <v>1391</v>
      </c>
      <c r="J195">
        <v>1</v>
      </c>
      <c r="K195" t="s">
        <v>1632</v>
      </c>
      <c r="L195" t="s">
        <v>1727</v>
      </c>
      <c r="M195">
        <v>13971</v>
      </c>
      <c r="N195" t="s">
        <v>1751</v>
      </c>
      <c r="O195" t="s">
        <v>1754</v>
      </c>
      <c r="P195" t="s">
        <v>1751</v>
      </c>
      <c r="Q195">
        <f t="shared" si="2"/>
        <v>168.32530120481928</v>
      </c>
    </row>
    <row r="196" spans="1:17" x14ac:dyDescent="0.3">
      <c r="A196" t="s">
        <v>207</v>
      </c>
      <c r="B196" t="s">
        <v>690</v>
      </c>
      <c r="C196">
        <v>70</v>
      </c>
      <c r="D196" t="s">
        <v>891</v>
      </c>
      <c r="E196" t="s">
        <v>893</v>
      </c>
      <c r="F196" t="s">
        <v>909</v>
      </c>
      <c r="G196" t="s">
        <v>950</v>
      </c>
      <c r="H196" t="s">
        <v>1083</v>
      </c>
      <c r="I196" t="s">
        <v>1317</v>
      </c>
      <c r="J196">
        <v>4</v>
      </c>
      <c r="K196" t="s">
        <v>1541</v>
      </c>
      <c r="L196" t="s">
        <v>1731</v>
      </c>
      <c r="M196">
        <v>56484</v>
      </c>
      <c r="N196" t="s">
        <v>1750</v>
      </c>
      <c r="O196" t="s">
        <v>1754</v>
      </c>
      <c r="P196" t="s">
        <v>1751</v>
      </c>
      <c r="Q196">
        <f t="shared" si="2"/>
        <v>680.53012048192772</v>
      </c>
    </row>
    <row r="197" spans="1:17" x14ac:dyDescent="0.3">
      <c r="A197" t="s">
        <v>208</v>
      </c>
      <c r="B197" t="s">
        <v>666</v>
      </c>
      <c r="C197">
        <v>69</v>
      </c>
      <c r="D197" t="s">
        <v>892</v>
      </c>
      <c r="E197" t="s">
        <v>897</v>
      </c>
      <c r="F197" t="s">
        <v>909</v>
      </c>
      <c r="G197" t="s">
        <v>922</v>
      </c>
      <c r="H197" t="s">
        <v>1122</v>
      </c>
      <c r="I197" t="s">
        <v>1350</v>
      </c>
      <c r="J197">
        <v>4</v>
      </c>
      <c r="K197" t="s">
        <v>1633</v>
      </c>
      <c r="L197" t="s">
        <v>1732</v>
      </c>
      <c r="M197">
        <v>129654</v>
      </c>
      <c r="N197" t="s">
        <v>1750</v>
      </c>
      <c r="O197" t="s">
        <v>1756</v>
      </c>
      <c r="P197" t="s">
        <v>1751</v>
      </c>
      <c r="Q197">
        <f t="shared" ref="Q197:Q260" si="3">M197/83</f>
        <v>1562.0963855421687</v>
      </c>
    </row>
    <row r="198" spans="1:17" x14ac:dyDescent="0.3">
      <c r="A198" t="s">
        <v>209</v>
      </c>
      <c r="B198" t="s">
        <v>691</v>
      </c>
      <c r="C198">
        <v>69</v>
      </c>
      <c r="D198" t="s">
        <v>891</v>
      </c>
      <c r="E198" t="s">
        <v>897</v>
      </c>
      <c r="F198" t="s">
        <v>907</v>
      </c>
      <c r="G198" t="s">
        <v>938</v>
      </c>
      <c r="H198" t="s">
        <v>1123</v>
      </c>
      <c r="I198" t="s">
        <v>1135</v>
      </c>
      <c r="J198">
        <v>10</v>
      </c>
      <c r="K198" t="s">
        <v>1634</v>
      </c>
      <c r="L198" t="s">
        <v>1743</v>
      </c>
      <c r="M198">
        <v>435190</v>
      </c>
      <c r="N198" t="s">
        <v>1750</v>
      </c>
      <c r="O198" t="s">
        <v>1753</v>
      </c>
      <c r="P198" t="s">
        <v>1751</v>
      </c>
      <c r="Q198">
        <f t="shared" si="3"/>
        <v>5243.2530120481924</v>
      </c>
    </row>
    <row r="199" spans="1:17" x14ac:dyDescent="0.3">
      <c r="A199" t="s">
        <v>210</v>
      </c>
      <c r="B199" t="s">
        <v>692</v>
      </c>
      <c r="C199">
        <v>16</v>
      </c>
      <c r="D199" t="s">
        <v>891</v>
      </c>
      <c r="E199" t="s">
        <v>897</v>
      </c>
      <c r="F199" t="s">
        <v>901</v>
      </c>
      <c r="G199" t="s">
        <v>924</v>
      </c>
      <c r="H199" t="s">
        <v>1051</v>
      </c>
      <c r="I199" t="s">
        <v>1117</v>
      </c>
      <c r="J199">
        <v>1</v>
      </c>
      <c r="K199" t="s">
        <v>1616</v>
      </c>
      <c r="L199" t="s">
        <v>1745</v>
      </c>
      <c r="M199">
        <v>36711</v>
      </c>
      <c r="N199" t="s">
        <v>1750</v>
      </c>
      <c r="O199" t="s">
        <v>1755</v>
      </c>
      <c r="P199" t="s">
        <v>1751</v>
      </c>
      <c r="Q199">
        <f t="shared" si="3"/>
        <v>442.30120481927713</v>
      </c>
    </row>
    <row r="200" spans="1:17" x14ac:dyDescent="0.3">
      <c r="A200" t="s">
        <v>211</v>
      </c>
      <c r="B200" t="s">
        <v>693</v>
      </c>
      <c r="C200">
        <v>71</v>
      </c>
      <c r="D200" t="s">
        <v>891</v>
      </c>
      <c r="E200" t="s">
        <v>893</v>
      </c>
      <c r="F200" t="s">
        <v>909</v>
      </c>
      <c r="G200" t="s">
        <v>920</v>
      </c>
      <c r="H200" t="s">
        <v>1124</v>
      </c>
      <c r="I200" t="s">
        <v>1092</v>
      </c>
      <c r="J200">
        <v>1</v>
      </c>
      <c r="K200" t="s">
        <v>1610</v>
      </c>
      <c r="L200" t="s">
        <v>1741</v>
      </c>
      <c r="M200">
        <v>14284</v>
      </c>
      <c r="N200" t="s">
        <v>1750</v>
      </c>
      <c r="O200" t="s">
        <v>1753</v>
      </c>
      <c r="P200" t="s">
        <v>1751</v>
      </c>
      <c r="Q200">
        <f t="shared" si="3"/>
        <v>172.09638554216866</v>
      </c>
    </row>
    <row r="201" spans="1:17" x14ac:dyDescent="0.3">
      <c r="A201" t="s">
        <v>212</v>
      </c>
      <c r="B201" t="s">
        <v>694</v>
      </c>
      <c r="C201">
        <v>75</v>
      </c>
      <c r="D201" t="s">
        <v>892</v>
      </c>
      <c r="E201" t="s">
        <v>897</v>
      </c>
      <c r="F201" t="s">
        <v>905</v>
      </c>
      <c r="G201" t="s">
        <v>914</v>
      </c>
      <c r="H201" t="s">
        <v>1125</v>
      </c>
      <c r="I201" t="s">
        <v>1392</v>
      </c>
      <c r="J201">
        <v>9</v>
      </c>
      <c r="K201" t="s">
        <v>1635</v>
      </c>
      <c r="L201" t="s">
        <v>1740</v>
      </c>
      <c r="M201">
        <v>152629</v>
      </c>
      <c r="N201" t="s">
        <v>1750</v>
      </c>
      <c r="O201" t="s">
        <v>1754</v>
      </c>
      <c r="P201" t="s">
        <v>1750</v>
      </c>
      <c r="Q201">
        <f t="shared" si="3"/>
        <v>1838.9036144578313</v>
      </c>
    </row>
    <row r="202" spans="1:17" x14ac:dyDescent="0.3">
      <c r="A202" t="s">
        <v>213</v>
      </c>
      <c r="B202" t="s">
        <v>695</v>
      </c>
      <c r="C202">
        <v>38</v>
      </c>
      <c r="D202" t="s">
        <v>891</v>
      </c>
      <c r="E202" t="s">
        <v>897</v>
      </c>
      <c r="F202" t="s">
        <v>906</v>
      </c>
      <c r="G202" t="s">
        <v>915</v>
      </c>
      <c r="H202" t="s">
        <v>1126</v>
      </c>
      <c r="I202" t="s">
        <v>1265</v>
      </c>
      <c r="J202">
        <v>11</v>
      </c>
      <c r="K202" t="s">
        <v>1502</v>
      </c>
      <c r="L202" t="s">
        <v>1730</v>
      </c>
      <c r="M202">
        <v>311894</v>
      </c>
      <c r="N202" t="s">
        <v>1751</v>
      </c>
      <c r="O202" t="s">
        <v>1754</v>
      </c>
      <c r="P202" t="s">
        <v>1751</v>
      </c>
      <c r="Q202">
        <f t="shared" si="3"/>
        <v>3757.7590361445782</v>
      </c>
    </row>
    <row r="203" spans="1:17" x14ac:dyDescent="0.3">
      <c r="A203" t="s">
        <v>214</v>
      </c>
      <c r="B203" t="s">
        <v>696</v>
      </c>
      <c r="C203">
        <v>62</v>
      </c>
      <c r="D203" t="s">
        <v>891</v>
      </c>
      <c r="E203" t="s">
        <v>894</v>
      </c>
      <c r="F203" t="s">
        <v>902</v>
      </c>
      <c r="G203" t="s">
        <v>911</v>
      </c>
      <c r="H203" t="s">
        <v>1127</v>
      </c>
      <c r="I203" t="s">
        <v>1050</v>
      </c>
      <c r="J203">
        <v>10</v>
      </c>
      <c r="K203" t="s">
        <v>1579</v>
      </c>
      <c r="L203" t="s">
        <v>1722</v>
      </c>
      <c r="M203">
        <v>102332</v>
      </c>
      <c r="N203" t="s">
        <v>1751</v>
      </c>
      <c r="O203" t="s">
        <v>1754</v>
      </c>
      <c r="P203" t="s">
        <v>1751</v>
      </c>
      <c r="Q203">
        <f t="shared" si="3"/>
        <v>1232.9156626506024</v>
      </c>
    </row>
    <row r="204" spans="1:17" x14ac:dyDescent="0.3">
      <c r="A204" t="s">
        <v>215</v>
      </c>
      <c r="B204" t="s">
        <v>697</v>
      </c>
      <c r="C204">
        <v>59</v>
      </c>
      <c r="D204" t="s">
        <v>891</v>
      </c>
      <c r="E204" t="s">
        <v>897</v>
      </c>
      <c r="F204" t="s">
        <v>906</v>
      </c>
      <c r="G204" t="s">
        <v>915</v>
      </c>
      <c r="H204" t="s">
        <v>1128</v>
      </c>
      <c r="I204" t="s">
        <v>1393</v>
      </c>
      <c r="J204">
        <v>7</v>
      </c>
      <c r="K204" t="s">
        <v>1542</v>
      </c>
      <c r="L204" t="s">
        <v>1739</v>
      </c>
      <c r="M204">
        <v>83820</v>
      </c>
      <c r="N204" t="s">
        <v>1750</v>
      </c>
      <c r="O204" t="s">
        <v>1755</v>
      </c>
      <c r="P204" t="s">
        <v>1751</v>
      </c>
      <c r="Q204">
        <f t="shared" si="3"/>
        <v>1009.8795180722891</v>
      </c>
    </row>
    <row r="205" spans="1:17" x14ac:dyDescent="0.3">
      <c r="A205" t="s">
        <v>216</v>
      </c>
      <c r="B205" t="s">
        <v>698</v>
      </c>
      <c r="C205">
        <v>76</v>
      </c>
      <c r="D205" t="s">
        <v>892</v>
      </c>
      <c r="E205" t="s">
        <v>897</v>
      </c>
      <c r="F205" t="s">
        <v>905</v>
      </c>
      <c r="G205" t="s">
        <v>933</v>
      </c>
      <c r="H205" t="s">
        <v>1054</v>
      </c>
      <c r="I205" t="s">
        <v>1394</v>
      </c>
      <c r="J205">
        <v>7</v>
      </c>
      <c r="K205" t="s">
        <v>1636</v>
      </c>
      <c r="L205" t="s">
        <v>1725</v>
      </c>
      <c r="M205">
        <v>216577</v>
      </c>
      <c r="N205" t="s">
        <v>1751</v>
      </c>
      <c r="O205" t="s">
        <v>1753</v>
      </c>
      <c r="P205" t="s">
        <v>1751</v>
      </c>
      <c r="Q205">
        <f t="shared" si="3"/>
        <v>2609.3614457831327</v>
      </c>
    </row>
    <row r="206" spans="1:17" x14ac:dyDescent="0.3">
      <c r="A206" t="s">
        <v>217</v>
      </c>
      <c r="B206" t="s">
        <v>699</v>
      </c>
      <c r="C206">
        <v>5</v>
      </c>
      <c r="D206" t="s">
        <v>891</v>
      </c>
      <c r="E206" t="s">
        <v>897</v>
      </c>
      <c r="F206" t="s">
        <v>901</v>
      </c>
      <c r="G206" t="s">
        <v>942</v>
      </c>
      <c r="H206" t="s">
        <v>1129</v>
      </c>
      <c r="I206" t="s">
        <v>1395</v>
      </c>
      <c r="J206">
        <v>1</v>
      </c>
      <c r="K206" t="s">
        <v>1603</v>
      </c>
      <c r="L206" t="s">
        <v>1721</v>
      </c>
      <c r="M206">
        <v>12842</v>
      </c>
      <c r="N206" t="s">
        <v>1750</v>
      </c>
      <c r="O206" t="s">
        <v>1752</v>
      </c>
      <c r="P206" t="s">
        <v>1751</v>
      </c>
      <c r="Q206">
        <f t="shared" si="3"/>
        <v>154.72289156626505</v>
      </c>
    </row>
    <row r="207" spans="1:17" x14ac:dyDescent="0.3">
      <c r="A207" t="s">
        <v>218</v>
      </c>
      <c r="B207" t="s">
        <v>564</v>
      </c>
      <c r="C207">
        <v>39</v>
      </c>
      <c r="D207" t="s">
        <v>892</v>
      </c>
      <c r="E207" t="s">
        <v>894</v>
      </c>
      <c r="F207" t="s">
        <v>906</v>
      </c>
      <c r="G207" t="s">
        <v>915</v>
      </c>
      <c r="H207" t="s">
        <v>1130</v>
      </c>
      <c r="I207" t="s">
        <v>1396</v>
      </c>
      <c r="J207">
        <v>1</v>
      </c>
      <c r="K207" t="s">
        <v>1503</v>
      </c>
      <c r="L207" t="s">
        <v>1730</v>
      </c>
      <c r="M207">
        <v>13355</v>
      </c>
      <c r="N207" t="s">
        <v>1750</v>
      </c>
      <c r="O207" t="s">
        <v>1755</v>
      </c>
      <c r="P207" t="s">
        <v>1751</v>
      </c>
      <c r="Q207">
        <f t="shared" si="3"/>
        <v>160.90361445783134</v>
      </c>
    </row>
    <row r="208" spans="1:17" x14ac:dyDescent="0.3">
      <c r="A208" t="s">
        <v>219</v>
      </c>
      <c r="B208" t="s">
        <v>661</v>
      </c>
      <c r="C208">
        <v>16</v>
      </c>
      <c r="D208" t="s">
        <v>891</v>
      </c>
      <c r="E208" t="s">
        <v>897</v>
      </c>
      <c r="F208" t="s">
        <v>901</v>
      </c>
      <c r="G208" t="s">
        <v>948</v>
      </c>
      <c r="H208" t="s">
        <v>1131</v>
      </c>
      <c r="I208" t="s">
        <v>1239</v>
      </c>
      <c r="J208">
        <v>6</v>
      </c>
      <c r="K208" t="s">
        <v>1637</v>
      </c>
      <c r="L208" t="s">
        <v>1745</v>
      </c>
      <c r="M208">
        <v>147252</v>
      </c>
      <c r="N208" t="s">
        <v>1751</v>
      </c>
      <c r="O208" t="s">
        <v>1752</v>
      </c>
      <c r="P208" t="s">
        <v>1751</v>
      </c>
      <c r="Q208">
        <f t="shared" si="3"/>
        <v>1774.1204819277109</v>
      </c>
    </row>
    <row r="209" spans="1:17" x14ac:dyDescent="0.3">
      <c r="A209" t="s">
        <v>220</v>
      </c>
      <c r="B209" t="s">
        <v>700</v>
      </c>
      <c r="C209">
        <v>34</v>
      </c>
      <c r="D209" t="s">
        <v>891</v>
      </c>
      <c r="E209" t="s">
        <v>894</v>
      </c>
      <c r="F209" t="s">
        <v>902</v>
      </c>
      <c r="G209" t="s">
        <v>949</v>
      </c>
      <c r="H209" t="s">
        <v>1132</v>
      </c>
      <c r="I209" t="s">
        <v>1219</v>
      </c>
      <c r="J209">
        <v>4</v>
      </c>
      <c r="K209" t="s">
        <v>1494</v>
      </c>
      <c r="L209" t="s">
        <v>1746</v>
      </c>
      <c r="M209">
        <v>100538</v>
      </c>
      <c r="N209" t="s">
        <v>1750</v>
      </c>
      <c r="O209" t="s">
        <v>1755</v>
      </c>
      <c r="P209" t="s">
        <v>1751</v>
      </c>
      <c r="Q209">
        <f t="shared" si="3"/>
        <v>1211.301204819277</v>
      </c>
    </row>
    <row r="210" spans="1:17" x14ac:dyDescent="0.3">
      <c r="A210" t="s">
        <v>221</v>
      </c>
      <c r="B210" t="s">
        <v>701</v>
      </c>
      <c r="C210">
        <v>52</v>
      </c>
      <c r="D210" t="s">
        <v>892</v>
      </c>
      <c r="E210" t="s">
        <v>897</v>
      </c>
      <c r="F210" t="s">
        <v>905</v>
      </c>
      <c r="G210" t="s">
        <v>939</v>
      </c>
      <c r="H210" t="s">
        <v>1133</v>
      </c>
      <c r="I210" t="s">
        <v>1397</v>
      </c>
      <c r="J210">
        <v>1</v>
      </c>
      <c r="K210" t="s">
        <v>1497</v>
      </c>
      <c r="L210" t="s">
        <v>1729</v>
      </c>
      <c r="M210">
        <v>26013</v>
      </c>
      <c r="N210" t="s">
        <v>1751</v>
      </c>
      <c r="O210" t="s">
        <v>1754</v>
      </c>
      <c r="P210" t="s">
        <v>1751</v>
      </c>
      <c r="Q210">
        <f t="shared" si="3"/>
        <v>313.40963855421688</v>
      </c>
    </row>
    <row r="211" spans="1:17" x14ac:dyDescent="0.3">
      <c r="A211" t="s">
        <v>222</v>
      </c>
      <c r="B211" t="s">
        <v>593</v>
      </c>
      <c r="C211">
        <v>14</v>
      </c>
      <c r="D211" t="s">
        <v>891</v>
      </c>
      <c r="E211" t="s">
        <v>893</v>
      </c>
      <c r="F211" t="s">
        <v>901</v>
      </c>
      <c r="G211" t="s">
        <v>942</v>
      </c>
      <c r="H211" t="s">
        <v>960</v>
      </c>
      <c r="I211" t="s">
        <v>1079</v>
      </c>
      <c r="J211">
        <v>1</v>
      </c>
      <c r="K211" t="s">
        <v>1638</v>
      </c>
      <c r="L211" t="s">
        <v>1721</v>
      </c>
      <c r="M211">
        <v>44336</v>
      </c>
      <c r="N211" t="s">
        <v>1751</v>
      </c>
      <c r="O211" t="s">
        <v>1755</v>
      </c>
      <c r="P211" t="s">
        <v>1751</v>
      </c>
      <c r="Q211">
        <f t="shared" si="3"/>
        <v>534.16867469879514</v>
      </c>
    </row>
    <row r="212" spans="1:17" x14ac:dyDescent="0.3">
      <c r="A212" t="s">
        <v>223</v>
      </c>
      <c r="B212" t="s">
        <v>702</v>
      </c>
      <c r="C212">
        <v>61</v>
      </c>
      <c r="D212" t="s">
        <v>891</v>
      </c>
      <c r="E212" t="s">
        <v>897</v>
      </c>
      <c r="F212" t="s">
        <v>907</v>
      </c>
      <c r="G212" t="s">
        <v>945</v>
      </c>
      <c r="H212" t="s">
        <v>1134</v>
      </c>
      <c r="I212" t="s">
        <v>963</v>
      </c>
      <c r="J212">
        <v>10</v>
      </c>
      <c r="K212" t="s">
        <v>1543</v>
      </c>
      <c r="L212" t="s">
        <v>1743</v>
      </c>
      <c r="M212">
        <v>491487</v>
      </c>
      <c r="N212" t="s">
        <v>1750</v>
      </c>
      <c r="O212" t="s">
        <v>1754</v>
      </c>
      <c r="P212" t="s">
        <v>1751</v>
      </c>
      <c r="Q212">
        <f t="shared" si="3"/>
        <v>5921.530120481928</v>
      </c>
    </row>
    <row r="213" spans="1:17" x14ac:dyDescent="0.3">
      <c r="A213" t="s">
        <v>224</v>
      </c>
      <c r="B213" t="s">
        <v>703</v>
      </c>
      <c r="C213">
        <v>54</v>
      </c>
      <c r="D213" t="s">
        <v>892</v>
      </c>
      <c r="E213" t="s">
        <v>894</v>
      </c>
      <c r="F213" t="s">
        <v>908</v>
      </c>
      <c r="G213" t="s">
        <v>928</v>
      </c>
      <c r="H213" t="s">
        <v>1135</v>
      </c>
      <c r="I213" t="s">
        <v>1226</v>
      </c>
      <c r="J213">
        <v>1</v>
      </c>
      <c r="K213" t="s">
        <v>1639</v>
      </c>
      <c r="L213" t="s">
        <v>1728</v>
      </c>
      <c r="M213">
        <v>54950</v>
      </c>
      <c r="N213" t="s">
        <v>1751</v>
      </c>
      <c r="O213" t="s">
        <v>1754</v>
      </c>
      <c r="P213" t="s">
        <v>1751</v>
      </c>
      <c r="Q213">
        <f t="shared" si="3"/>
        <v>662.04819277108436</v>
      </c>
    </row>
    <row r="214" spans="1:17" x14ac:dyDescent="0.3">
      <c r="A214" t="s">
        <v>225</v>
      </c>
      <c r="B214" t="s">
        <v>704</v>
      </c>
      <c r="C214">
        <v>44</v>
      </c>
      <c r="D214" t="s">
        <v>892</v>
      </c>
      <c r="E214" t="s">
        <v>897</v>
      </c>
      <c r="F214" t="s">
        <v>908</v>
      </c>
      <c r="G214" t="s">
        <v>917</v>
      </c>
      <c r="H214" t="s">
        <v>985</v>
      </c>
      <c r="I214" t="s">
        <v>1347</v>
      </c>
      <c r="J214">
        <v>1</v>
      </c>
      <c r="K214" t="s">
        <v>1640</v>
      </c>
      <c r="L214" t="s">
        <v>1737</v>
      </c>
      <c r="M214">
        <v>31631</v>
      </c>
      <c r="N214" t="s">
        <v>1751</v>
      </c>
      <c r="O214" t="s">
        <v>1752</v>
      </c>
      <c r="P214" t="s">
        <v>1751</v>
      </c>
      <c r="Q214">
        <f t="shared" si="3"/>
        <v>381.09638554216866</v>
      </c>
    </row>
    <row r="215" spans="1:17" x14ac:dyDescent="0.3">
      <c r="A215" t="s">
        <v>226</v>
      </c>
      <c r="B215" t="s">
        <v>705</v>
      </c>
      <c r="C215">
        <v>69</v>
      </c>
      <c r="D215" t="s">
        <v>892</v>
      </c>
      <c r="E215" t="s">
        <v>893</v>
      </c>
      <c r="F215" t="s">
        <v>909</v>
      </c>
      <c r="G215" t="s">
        <v>920</v>
      </c>
      <c r="H215" t="s">
        <v>1076</v>
      </c>
      <c r="I215" t="s">
        <v>1057</v>
      </c>
      <c r="J215">
        <v>1</v>
      </c>
      <c r="K215" t="s">
        <v>1577</v>
      </c>
      <c r="L215" t="s">
        <v>1731</v>
      </c>
      <c r="M215">
        <v>29187</v>
      </c>
      <c r="N215" t="s">
        <v>1750</v>
      </c>
      <c r="O215" t="s">
        <v>1755</v>
      </c>
      <c r="P215" t="s">
        <v>1751</v>
      </c>
      <c r="Q215">
        <f t="shared" si="3"/>
        <v>351.65060240963857</v>
      </c>
    </row>
    <row r="216" spans="1:17" x14ac:dyDescent="0.3">
      <c r="A216" t="s">
        <v>227</v>
      </c>
      <c r="B216" t="s">
        <v>706</v>
      </c>
      <c r="C216">
        <v>45</v>
      </c>
      <c r="D216" t="s">
        <v>891</v>
      </c>
      <c r="E216" t="s">
        <v>897</v>
      </c>
      <c r="F216" t="s">
        <v>905</v>
      </c>
      <c r="G216" t="s">
        <v>939</v>
      </c>
      <c r="H216" t="s">
        <v>1127</v>
      </c>
      <c r="I216" t="s">
        <v>1398</v>
      </c>
      <c r="J216">
        <v>8</v>
      </c>
      <c r="K216" t="s">
        <v>1641</v>
      </c>
      <c r="L216" t="s">
        <v>1725</v>
      </c>
      <c r="M216">
        <v>193926</v>
      </c>
      <c r="N216" t="s">
        <v>1750</v>
      </c>
      <c r="O216" t="s">
        <v>1753</v>
      </c>
      <c r="P216" t="s">
        <v>1751</v>
      </c>
      <c r="Q216">
        <f t="shared" si="3"/>
        <v>2336.4578313253014</v>
      </c>
    </row>
    <row r="217" spans="1:17" x14ac:dyDescent="0.3">
      <c r="A217" t="s">
        <v>228</v>
      </c>
      <c r="B217" t="s">
        <v>707</v>
      </c>
      <c r="C217">
        <v>77</v>
      </c>
      <c r="D217" t="s">
        <v>892</v>
      </c>
      <c r="E217" t="s">
        <v>893</v>
      </c>
      <c r="F217" t="s">
        <v>902</v>
      </c>
      <c r="G217" t="s">
        <v>925</v>
      </c>
      <c r="H217" t="s">
        <v>996</v>
      </c>
      <c r="I217" t="s">
        <v>1399</v>
      </c>
      <c r="J217">
        <v>5</v>
      </c>
      <c r="K217" t="s">
        <v>1550</v>
      </c>
      <c r="L217" t="s">
        <v>1744</v>
      </c>
      <c r="M217">
        <v>82568</v>
      </c>
      <c r="N217" t="s">
        <v>1751</v>
      </c>
      <c r="O217" t="s">
        <v>1754</v>
      </c>
      <c r="P217" t="s">
        <v>1751</v>
      </c>
      <c r="Q217">
        <f t="shared" si="3"/>
        <v>994.79518072289159</v>
      </c>
    </row>
    <row r="218" spans="1:17" x14ac:dyDescent="0.3">
      <c r="A218" t="s">
        <v>229</v>
      </c>
      <c r="B218" t="s">
        <v>708</v>
      </c>
      <c r="C218">
        <v>29</v>
      </c>
      <c r="D218" t="s">
        <v>892</v>
      </c>
      <c r="E218" t="s">
        <v>897</v>
      </c>
      <c r="F218" t="s">
        <v>903</v>
      </c>
      <c r="G218" t="s">
        <v>912</v>
      </c>
      <c r="H218" t="s">
        <v>1034</v>
      </c>
      <c r="I218" t="s">
        <v>1254</v>
      </c>
      <c r="J218">
        <v>1</v>
      </c>
      <c r="K218" t="s">
        <v>1642</v>
      </c>
      <c r="L218" t="s">
        <v>1748</v>
      </c>
      <c r="M218">
        <v>11954</v>
      </c>
      <c r="N218" t="s">
        <v>1750</v>
      </c>
      <c r="O218" t="s">
        <v>1754</v>
      </c>
      <c r="P218" t="s">
        <v>1750</v>
      </c>
      <c r="Q218">
        <f t="shared" si="3"/>
        <v>144.02409638554218</v>
      </c>
    </row>
    <row r="219" spans="1:17" x14ac:dyDescent="0.3">
      <c r="A219" t="s">
        <v>230</v>
      </c>
      <c r="B219" t="s">
        <v>624</v>
      </c>
      <c r="C219">
        <v>79</v>
      </c>
      <c r="D219" t="s">
        <v>891</v>
      </c>
      <c r="E219" t="s">
        <v>894</v>
      </c>
      <c r="F219" t="s">
        <v>905</v>
      </c>
      <c r="G219" t="s">
        <v>918</v>
      </c>
      <c r="H219" t="s">
        <v>1044</v>
      </c>
      <c r="I219" t="s">
        <v>1124</v>
      </c>
      <c r="J219">
        <v>8</v>
      </c>
      <c r="K219" t="s">
        <v>1574</v>
      </c>
      <c r="L219" t="s">
        <v>1729</v>
      </c>
      <c r="M219">
        <v>223576</v>
      </c>
      <c r="N219" t="s">
        <v>1750</v>
      </c>
      <c r="O219" t="s">
        <v>1755</v>
      </c>
      <c r="P219" t="s">
        <v>1750</v>
      </c>
      <c r="Q219">
        <f t="shared" si="3"/>
        <v>2693.6867469879517</v>
      </c>
    </row>
    <row r="220" spans="1:17" x14ac:dyDescent="0.3">
      <c r="A220" t="s">
        <v>231</v>
      </c>
      <c r="B220" t="s">
        <v>709</v>
      </c>
      <c r="C220">
        <v>67</v>
      </c>
      <c r="D220" t="s">
        <v>891</v>
      </c>
      <c r="E220" t="s">
        <v>894</v>
      </c>
      <c r="F220" t="s">
        <v>909</v>
      </c>
      <c r="G220" t="s">
        <v>920</v>
      </c>
      <c r="H220" t="s">
        <v>1136</v>
      </c>
      <c r="I220" t="s">
        <v>1022</v>
      </c>
      <c r="J220">
        <v>1</v>
      </c>
      <c r="K220" t="s">
        <v>1643</v>
      </c>
      <c r="L220" t="s">
        <v>1738</v>
      </c>
      <c r="M220">
        <v>11763</v>
      </c>
      <c r="N220" t="s">
        <v>1750</v>
      </c>
      <c r="O220" t="s">
        <v>1753</v>
      </c>
      <c r="P220" t="s">
        <v>1750</v>
      </c>
      <c r="Q220">
        <f t="shared" si="3"/>
        <v>141.72289156626505</v>
      </c>
    </row>
    <row r="221" spans="1:17" x14ac:dyDescent="0.3">
      <c r="A221" t="s">
        <v>232</v>
      </c>
      <c r="B221" t="s">
        <v>710</v>
      </c>
      <c r="C221">
        <v>39</v>
      </c>
      <c r="D221" t="s">
        <v>891</v>
      </c>
      <c r="E221" t="s">
        <v>897</v>
      </c>
      <c r="F221" t="s">
        <v>906</v>
      </c>
      <c r="G221" t="s">
        <v>927</v>
      </c>
      <c r="H221" t="s">
        <v>1137</v>
      </c>
      <c r="I221" t="s">
        <v>1001</v>
      </c>
      <c r="J221">
        <v>1</v>
      </c>
      <c r="K221" t="s">
        <v>1644</v>
      </c>
      <c r="L221" t="s">
        <v>1726</v>
      </c>
      <c r="M221">
        <v>17170</v>
      </c>
      <c r="N221" t="s">
        <v>1750</v>
      </c>
      <c r="O221" t="s">
        <v>1754</v>
      </c>
      <c r="P221" t="s">
        <v>1751</v>
      </c>
      <c r="Q221">
        <f t="shared" si="3"/>
        <v>206.86746987951807</v>
      </c>
    </row>
    <row r="222" spans="1:17" x14ac:dyDescent="0.3">
      <c r="A222" t="s">
        <v>233</v>
      </c>
      <c r="B222" t="s">
        <v>711</v>
      </c>
      <c r="C222">
        <v>67</v>
      </c>
      <c r="D222" t="s">
        <v>892</v>
      </c>
      <c r="E222" t="s">
        <v>893</v>
      </c>
      <c r="F222" t="s">
        <v>905</v>
      </c>
      <c r="G222" t="s">
        <v>929</v>
      </c>
      <c r="H222" t="s">
        <v>1138</v>
      </c>
      <c r="I222" t="s">
        <v>1400</v>
      </c>
      <c r="J222">
        <v>9</v>
      </c>
      <c r="K222" t="s">
        <v>1537</v>
      </c>
      <c r="L222" t="s">
        <v>1729</v>
      </c>
      <c r="M222">
        <v>157429</v>
      </c>
      <c r="N222" t="s">
        <v>1751</v>
      </c>
      <c r="O222" t="s">
        <v>1754</v>
      </c>
      <c r="P222" t="s">
        <v>1751</v>
      </c>
      <c r="Q222">
        <f t="shared" si="3"/>
        <v>1896.7349397590363</v>
      </c>
    </row>
    <row r="223" spans="1:17" x14ac:dyDescent="0.3">
      <c r="A223" t="s">
        <v>234</v>
      </c>
      <c r="B223" t="s">
        <v>712</v>
      </c>
      <c r="C223">
        <v>16</v>
      </c>
      <c r="D223" t="s">
        <v>892</v>
      </c>
      <c r="E223" t="s">
        <v>894</v>
      </c>
      <c r="F223" t="s">
        <v>901</v>
      </c>
      <c r="G223" t="s">
        <v>924</v>
      </c>
      <c r="H223" t="s">
        <v>1139</v>
      </c>
      <c r="I223" t="s">
        <v>1109</v>
      </c>
      <c r="J223">
        <v>3</v>
      </c>
      <c r="K223" t="s">
        <v>1493</v>
      </c>
      <c r="L223" t="s">
        <v>1745</v>
      </c>
      <c r="M223">
        <v>71347</v>
      </c>
      <c r="N223" t="s">
        <v>1750</v>
      </c>
      <c r="O223" t="s">
        <v>1754</v>
      </c>
      <c r="P223" t="s">
        <v>1751</v>
      </c>
      <c r="Q223">
        <f t="shared" si="3"/>
        <v>859.60240963855426</v>
      </c>
    </row>
    <row r="224" spans="1:17" x14ac:dyDescent="0.3">
      <c r="A224" t="s">
        <v>235</v>
      </c>
      <c r="B224" t="s">
        <v>713</v>
      </c>
      <c r="C224">
        <v>27</v>
      </c>
      <c r="D224" t="s">
        <v>891</v>
      </c>
      <c r="E224" t="s">
        <v>894</v>
      </c>
      <c r="F224" t="s">
        <v>905</v>
      </c>
      <c r="G224" t="s">
        <v>929</v>
      </c>
      <c r="H224" t="s">
        <v>965</v>
      </c>
      <c r="I224" t="s">
        <v>1232</v>
      </c>
      <c r="J224">
        <v>13</v>
      </c>
      <c r="K224" t="s">
        <v>1645</v>
      </c>
      <c r="L224" t="s">
        <v>1725</v>
      </c>
      <c r="M224">
        <v>250081</v>
      </c>
      <c r="N224" t="s">
        <v>1751</v>
      </c>
      <c r="O224" t="s">
        <v>1754</v>
      </c>
      <c r="P224" t="s">
        <v>1751</v>
      </c>
      <c r="Q224">
        <f t="shared" si="3"/>
        <v>3013.0240963855422</v>
      </c>
    </row>
    <row r="225" spans="1:17" x14ac:dyDescent="0.3">
      <c r="A225" t="s">
        <v>236</v>
      </c>
      <c r="B225" t="s">
        <v>714</v>
      </c>
      <c r="C225">
        <v>32</v>
      </c>
      <c r="D225" t="s">
        <v>892</v>
      </c>
      <c r="E225" t="s">
        <v>897</v>
      </c>
      <c r="F225" t="s">
        <v>908</v>
      </c>
      <c r="G225" t="s">
        <v>921</v>
      </c>
      <c r="H225" t="s">
        <v>1107</v>
      </c>
      <c r="I225" t="s">
        <v>1292</v>
      </c>
      <c r="J225">
        <v>6</v>
      </c>
      <c r="K225" t="s">
        <v>1514</v>
      </c>
      <c r="L225" t="s">
        <v>1737</v>
      </c>
      <c r="M225">
        <v>197460</v>
      </c>
      <c r="N225" t="s">
        <v>1750</v>
      </c>
      <c r="O225" t="s">
        <v>1754</v>
      </c>
      <c r="P225" t="s">
        <v>1751</v>
      </c>
      <c r="Q225">
        <f t="shared" si="3"/>
        <v>2379.0361445783133</v>
      </c>
    </row>
    <row r="226" spans="1:17" x14ac:dyDescent="0.3">
      <c r="A226" t="s">
        <v>237</v>
      </c>
      <c r="B226" t="s">
        <v>715</v>
      </c>
      <c r="C226">
        <v>38</v>
      </c>
      <c r="D226" t="s">
        <v>892</v>
      </c>
      <c r="E226" t="s">
        <v>897</v>
      </c>
      <c r="F226" t="s">
        <v>904</v>
      </c>
      <c r="G226" t="s">
        <v>937</v>
      </c>
      <c r="H226" t="s">
        <v>1024</v>
      </c>
      <c r="I226" t="s">
        <v>1350</v>
      </c>
      <c r="J226">
        <v>2</v>
      </c>
      <c r="K226" t="s">
        <v>1556</v>
      </c>
      <c r="L226" t="s">
        <v>1747</v>
      </c>
      <c r="M226">
        <v>124328</v>
      </c>
      <c r="N226" t="s">
        <v>1750</v>
      </c>
      <c r="O226" t="s">
        <v>1754</v>
      </c>
      <c r="P226" t="s">
        <v>1751</v>
      </c>
      <c r="Q226">
        <f t="shared" si="3"/>
        <v>1497.9277108433735</v>
      </c>
    </row>
    <row r="227" spans="1:17" x14ac:dyDescent="0.3">
      <c r="A227" t="s">
        <v>238</v>
      </c>
      <c r="B227" t="s">
        <v>716</v>
      </c>
      <c r="C227">
        <v>70</v>
      </c>
      <c r="D227" t="s">
        <v>891</v>
      </c>
      <c r="E227" t="s">
        <v>894</v>
      </c>
      <c r="F227" t="s">
        <v>907</v>
      </c>
      <c r="G227" t="s">
        <v>916</v>
      </c>
      <c r="H227" t="s">
        <v>1140</v>
      </c>
      <c r="I227" t="s">
        <v>1349</v>
      </c>
      <c r="J227">
        <v>1</v>
      </c>
      <c r="K227" t="s">
        <v>1518</v>
      </c>
      <c r="L227" t="s">
        <v>1743</v>
      </c>
      <c r="M227">
        <v>41719</v>
      </c>
      <c r="N227" t="s">
        <v>1750</v>
      </c>
      <c r="O227" t="s">
        <v>1752</v>
      </c>
      <c r="P227" t="s">
        <v>1751</v>
      </c>
      <c r="Q227">
        <f t="shared" si="3"/>
        <v>502.63855421686748</v>
      </c>
    </row>
    <row r="228" spans="1:17" x14ac:dyDescent="0.3">
      <c r="A228" t="s">
        <v>239</v>
      </c>
      <c r="B228" t="s">
        <v>530</v>
      </c>
      <c r="C228">
        <v>37</v>
      </c>
      <c r="D228" t="s">
        <v>891</v>
      </c>
      <c r="E228" t="s">
        <v>894</v>
      </c>
      <c r="F228" t="s">
        <v>904</v>
      </c>
      <c r="G228" t="s">
        <v>913</v>
      </c>
      <c r="H228" t="s">
        <v>1141</v>
      </c>
      <c r="I228" t="s">
        <v>1401</v>
      </c>
      <c r="J228">
        <v>1</v>
      </c>
      <c r="K228" t="s">
        <v>1646</v>
      </c>
      <c r="L228" t="s">
        <v>1742</v>
      </c>
      <c r="M228">
        <v>35359</v>
      </c>
      <c r="N228" t="s">
        <v>1751</v>
      </c>
      <c r="O228" t="s">
        <v>1754</v>
      </c>
      <c r="P228" t="s">
        <v>1751</v>
      </c>
      <c r="Q228">
        <f t="shared" si="3"/>
        <v>426.01204819277109</v>
      </c>
    </row>
    <row r="229" spans="1:17" x14ac:dyDescent="0.3">
      <c r="A229" t="s">
        <v>240</v>
      </c>
      <c r="B229" t="s">
        <v>717</v>
      </c>
      <c r="C229">
        <v>77</v>
      </c>
      <c r="D229" t="s">
        <v>891</v>
      </c>
      <c r="E229" t="s">
        <v>893</v>
      </c>
      <c r="F229" t="s">
        <v>907</v>
      </c>
      <c r="G229" t="s">
        <v>945</v>
      </c>
      <c r="H229" t="s">
        <v>1142</v>
      </c>
      <c r="I229" t="s">
        <v>1402</v>
      </c>
      <c r="J229">
        <v>3</v>
      </c>
      <c r="K229" t="s">
        <v>1624</v>
      </c>
      <c r="L229" t="s">
        <v>1743</v>
      </c>
      <c r="M229">
        <v>82489</v>
      </c>
      <c r="N229" t="s">
        <v>1750</v>
      </c>
      <c r="O229" t="s">
        <v>1753</v>
      </c>
      <c r="P229" t="s">
        <v>1751</v>
      </c>
      <c r="Q229">
        <f t="shared" si="3"/>
        <v>993.84337349397595</v>
      </c>
    </row>
    <row r="230" spans="1:17" x14ac:dyDescent="0.3">
      <c r="A230" t="s">
        <v>241</v>
      </c>
      <c r="B230" t="s">
        <v>718</v>
      </c>
      <c r="C230">
        <v>51</v>
      </c>
      <c r="D230" t="s">
        <v>891</v>
      </c>
      <c r="E230" t="s">
        <v>893</v>
      </c>
      <c r="F230" t="s">
        <v>903</v>
      </c>
      <c r="G230" t="s">
        <v>951</v>
      </c>
      <c r="H230" t="s">
        <v>1143</v>
      </c>
      <c r="I230" t="s">
        <v>1403</v>
      </c>
      <c r="J230">
        <v>1</v>
      </c>
      <c r="K230" t="s">
        <v>1647</v>
      </c>
      <c r="L230" t="s">
        <v>1736</v>
      </c>
      <c r="M230">
        <v>24312</v>
      </c>
      <c r="N230" t="s">
        <v>1750</v>
      </c>
      <c r="O230" t="s">
        <v>1755</v>
      </c>
      <c r="P230" t="s">
        <v>1751</v>
      </c>
      <c r="Q230">
        <f t="shared" si="3"/>
        <v>292.91566265060243</v>
      </c>
    </row>
    <row r="231" spans="1:17" x14ac:dyDescent="0.3">
      <c r="A231" t="s">
        <v>242</v>
      </c>
      <c r="B231" t="s">
        <v>719</v>
      </c>
      <c r="C231">
        <v>47</v>
      </c>
      <c r="D231" t="s">
        <v>891</v>
      </c>
      <c r="E231" t="s">
        <v>897</v>
      </c>
      <c r="F231" t="s">
        <v>903</v>
      </c>
      <c r="G231" t="s">
        <v>930</v>
      </c>
      <c r="H231" t="s">
        <v>1144</v>
      </c>
      <c r="I231" t="s">
        <v>1404</v>
      </c>
      <c r="J231">
        <v>14</v>
      </c>
      <c r="K231" t="s">
        <v>1553</v>
      </c>
      <c r="L231" t="s">
        <v>1736</v>
      </c>
      <c r="M231">
        <v>72702</v>
      </c>
      <c r="N231" t="s">
        <v>1751</v>
      </c>
      <c r="O231" t="s">
        <v>1754</v>
      </c>
      <c r="P231" t="s">
        <v>1751</v>
      </c>
      <c r="Q231">
        <f t="shared" si="3"/>
        <v>875.92771084337346</v>
      </c>
    </row>
    <row r="232" spans="1:17" x14ac:dyDescent="0.3">
      <c r="A232" t="s">
        <v>243</v>
      </c>
      <c r="B232" t="s">
        <v>720</v>
      </c>
      <c r="C232">
        <v>75</v>
      </c>
      <c r="D232" t="s">
        <v>892</v>
      </c>
      <c r="E232" t="s">
        <v>893</v>
      </c>
      <c r="F232" t="s">
        <v>902</v>
      </c>
      <c r="G232" t="s">
        <v>911</v>
      </c>
      <c r="H232" t="s">
        <v>1145</v>
      </c>
      <c r="I232" t="s">
        <v>1118</v>
      </c>
      <c r="J232">
        <v>2</v>
      </c>
      <c r="K232" t="s">
        <v>1648</v>
      </c>
      <c r="L232" t="s">
        <v>1744</v>
      </c>
      <c r="M232">
        <v>53743</v>
      </c>
      <c r="N232" t="s">
        <v>1750</v>
      </c>
      <c r="O232" t="s">
        <v>1753</v>
      </c>
      <c r="P232" t="s">
        <v>1751</v>
      </c>
      <c r="Q232">
        <f t="shared" si="3"/>
        <v>647.50602409638554</v>
      </c>
    </row>
    <row r="233" spans="1:17" x14ac:dyDescent="0.3">
      <c r="A233" t="s">
        <v>244</v>
      </c>
      <c r="B233" t="s">
        <v>620</v>
      </c>
      <c r="C233">
        <v>78</v>
      </c>
      <c r="D233" t="s">
        <v>892</v>
      </c>
      <c r="E233" t="s">
        <v>898</v>
      </c>
      <c r="F233" t="s">
        <v>902</v>
      </c>
      <c r="G233" t="s">
        <v>949</v>
      </c>
      <c r="H233" t="s">
        <v>1146</v>
      </c>
      <c r="I233" t="s">
        <v>1066</v>
      </c>
      <c r="J233">
        <v>11</v>
      </c>
      <c r="K233" t="s">
        <v>1536</v>
      </c>
      <c r="L233" t="s">
        <v>1722</v>
      </c>
      <c r="M233">
        <v>149749</v>
      </c>
      <c r="N233" t="s">
        <v>1751</v>
      </c>
      <c r="O233" t="s">
        <v>1753</v>
      </c>
      <c r="P233" t="s">
        <v>1751</v>
      </c>
      <c r="Q233">
        <f t="shared" si="3"/>
        <v>1804.2048192771085</v>
      </c>
    </row>
    <row r="234" spans="1:17" x14ac:dyDescent="0.3">
      <c r="A234" t="s">
        <v>245</v>
      </c>
      <c r="B234" t="s">
        <v>721</v>
      </c>
      <c r="C234">
        <v>53</v>
      </c>
      <c r="D234" t="s">
        <v>891</v>
      </c>
      <c r="E234" t="s">
        <v>894</v>
      </c>
      <c r="F234" t="s">
        <v>902</v>
      </c>
      <c r="G234" t="s">
        <v>923</v>
      </c>
      <c r="H234" t="s">
        <v>1119</v>
      </c>
      <c r="I234" t="s">
        <v>1267</v>
      </c>
      <c r="J234">
        <v>4</v>
      </c>
      <c r="K234" t="s">
        <v>1649</v>
      </c>
      <c r="L234" t="s">
        <v>1722</v>
      </c>
      <c r="M234">
        <v>90872</v>
      </c>
      <c r="N234" t="s">
        <v>1750</v>
      </c>
      <c r="O234" t="s">
        <v>1755</v>
      </c>
      <c r="P234" t="s">
        <v>1751</v>
      </c>
      <c r="Q234">
        <f t="shared" si="3"/>
        <v>1094.8433734939758</v>
      </c>
    </row>
    <row r="235" spans="1:17" x14ac:dyDescent="0.3">
      <c r="A235" t="s">
        <v>246</v>
      </c>
      <c r="B235" t="s">
        <v>722</v>
      </c>
      <c r="C235">
        <v>35</v>
      </c>
      <c r="D235" t="s">
        <v>891</v>
      </c>
      <c r="E235" t="s">
        <v>897</v>
      </c>
      <c r="F235" t="s">
        <v>904</v>
      </c>
      <c r="G235" t="s">
        <v>913</v>
      </c>
      <c r="H235" t="s">
        <v>1147</v>
      </c>
      <c r="I235" t="s">
        <v>981</v>
      </c>
      <c r="J235">
        <v>4</v>
      </c>
      <c r="K235" t="s">
        <v>1573</v>
      </c>
      <c r="L235" t="s">
        <v>1747</v>
      </c>
      <c r="M235">
        <v>36686</v>
      </c>
      <c r="N235" t="s">
        <v>1751</v>
      </c>
      <c r="O235" t="s">
        <v>1754</v>
      </c>
      <c r="P235" t="s">
        <v>1751</v>
      </c>
      <c r="Q235">
        <f t="shared" si="3"/>
        <v>442</v>
      </c>
    </row>
    <row r="236" spans="1:17" x14ac:dyDescent="0.3">
      <c r="A236" t="s">
        <v>247</v>
      </c>
      <c r="B236" t="s">
        <v>663</v>
      </c>
      <c r="C236">
        <v>80</v>
      </c>
      <c r="D236" t="s">
        <v>892</v>
      </c>
      <c r="E236" t="s">
        <v>897</v>
      </c>
      <c r="F236" t="s">
        <v>906</v>
      </c>
      <c r="G236" t="s">
        <v>915</v>
      </c>
      <c r="H236" t="s">
        <v>1148</v>
      </c>
      <c r="I236" t="s">
        <v>1192</v>
      </c>
      <c r="J236">
        <v>3</v>
      </c>
      <c r="K236" t="s">
        <v>1517</v>
      </c>
      <c r="L236" t="s">
        <v>1739</v>
      </c>
      <c r="M236">
        <v>62012</v>
      </c>
      <c r="N236" t="s">
        <v>1750</v>
      </c>
      <c r="O236" t="s">
        <v>1754</v>
      </c>
      <c r="P236" t="s">
        <v>1751</v>
      </c>
      <c r="Q236">
        <f t="shared" si="3"/>
        <v>747.13253012048187</v>
      </c>
    </row>
    <row r="237" spans="1:17" x14ac:dyDescent="0.3">
      <c r="A237" t="s">
        <v>248</v>
      </c>
      <c r="B237" t="s">
        <v>575</v>
      </c>
      <c r="C237">
        <v>68</v>
      </c>
      <c r="D237" t="s">
        <v>892</v>
      </c>
      <c r="E237" t="s">
        <v>893</v>
      </c>
      <c r="F237" t="s">
        <v>905</v>
      </c>
      <c r="G237" t="s">
        <v>939</v>
      </c>
      <c r="H237" t="s">
        <v>1149</v>
      </c>
      <c r="I237" t="s">
        <v>1179</v>
      </c>
      <c r="J237">
        <v>6</v>
      </c>
      <c r="K237" t="s">
        <v>1650</v>
      </c>
      <c r="L237" t="s">
        <v>1729</v>
      </c>
      <c r="M237">
        <v>132024</v>
      </c>
      <c r="N237" t="s">
        <v>1751</v>
      </c>
      <c r="O237" t="s">
        <v>1754</v>
      </c>
      <c r="P237" t="s">
        <v>1751</v>
      </c>
      <c r="Q237">
        <f t="shared" si="3"/>
        <v>1590.6506024096386</v>
      </c>
    </row>
    <row r="238" spans="1:17" x14ac:dyDescent="0.3">
      <c r="A238" t="s">
        <v>249</v>
      </c>
      <c r="B238" t="s">
        <v>723</v>
      </c>
      <c r="C238">
        <v>50</v>
      </c>
      <c r="D238" t="s">
        <v>892</v>
      </c>
      <c r="E238" t="s">
        <v>893</v>
      </c>
      <c r="F238" t="s">
        <v>907</v>
      </c>
      <c r="G238" t="s">
        <v>916</v>
      </c>
      <c r="H238" t="s">
        <v>1150</v>
      </c>
      <c r="I238" t="s">
        <v>1405</v>
      </c>
      <c r="J238">
        <v>6</v>
      </c>
      <c r="K238" t="s">
        <v>1543</v>
      </c>
      <c r="L238" t="s">
        <v>1727</v>
      </c>
      <c r="M238">
        <v>293346</v>
      </c>
      <c r="N238" t="s">
        <v>1751</v>
      </c>
      <c r="O238" t="s">
        <v>1754</v>
      </c>
      <c r="P238" t="s">
        <v>1750</v>
      </c>
      <c r="Q238">
        <f t="shared" si="3"/>
        <v>3534.2891566265062</v>
      </c>
    </row>
    <row r="239" spans="1:17" x14ac:dyDescent="0.3">
      <c r="A239" t="s">
        <v>250</v>
      </c>
      <c r="B239" t="s">
        <v>546</v>
      </c>
      <c r="C239">
        <v>44</v>
      </c>
      <c r="D239" t="s">
        <v>892</v>
      </c>
      <c r="E239" t="s">
        <v>894</v>
      </c>
      <c r="F239" t="s">
        <v>905</v>
      </c>
      <c r="G239" t="s">
        <v>939</v>
      </c>
      <c r="H239" t="s">
        <v>1151</v>
      </c>
      <c r="I239" t="s">
        <v>1406</v>
      </c>
      <c r="J239">
        <v>1</v>
      </c>
      <c r="K239" t="s">
        <v>1629</v>
      </c>
      <c r="L239" t="s">
        <v>1725</v>
      </c>
      <c r="M239">
        <v>23066</v>
      </c>
      <c r="N239" t="s">
        <v>1750</v>
      </c>
      <c r="O239" t="s">
        <v>1754</v>
      </c>
      <c r="P239" t="s">
        <v>1751</v>
      </c>
      <c r="Q239">
        <f t="shared" si="3"/>
        <v>277.90361445783134</v>
      </c>
    </row>
    <row r="240" spans="1:17" x14ac:dyDescent="0.3">
      <c r="A240" t="s">
        <v>251</v>
      </c>
      <c r="B240" t="s">
        <v>724</v>
      </c>
      <c r="C240">
        <v>2</v>
      </c>
      <c r="D240" t="s">
        <v>892</v>
      </c>
      <c r="E240" t="s">
        <v>898</v>
      </c>
      <c r="F240" t="s">
        <v>901</v>
      </c>
      <c r="G240" t="s">
        <v>942</v>
      </c>
      <c r="H240" t="s">
        <v>1152</v>
      </c>
      <c r="I240" t="s">
        <v>1407</v>
      </c>
      <c r="J240">
        <v>3</v>
      </c>
      <c r="K240" t="s">
        <v>1623</v>
      </c>
      <c r="L240" t="s">
        <v>1721</v>
      </c>
      <c r="M240">
        <v>146930</v>
      </c>
      <c r="N240" t="s">
        <v>1750</v>
      </c>
      <c r="O240" t="s">
        <v>1756</v>
      </c>
      <c r="P240" t="s">
        <v>1750</v>
      </c>
      <c r="Q240">
        <f t="shared" si="3"/>
        <v>1770.2409638554218</v>
      </c>
    </row>
    <row r="241" spans="1:17" x14ac:dyDescent="0.3">
      <c r="A241" t="s">
        <v>252</v>
      </c>
      <c r="B241" t="s">
        <v>725</v>
      </c>
      <c r="C241">
        <v>30</v>
      </c>
      <c r="D241" t="s">
        <v>891</v>
      </c>
      <c r="E241" t="s">
        <v>893</v>
      </c>
      <c r="F241" t="s">
        <v>909</v>
      </c>
      <c r="G241" t="s">
        <v>922</v>
      </c>
      <c r="H241" t="s">
        <v>1153</v>
      </c>
      <c r="I241" t="s">
        <v>1375</v>
      </c>
      <c r="J241">
        <v>1</v>
      </c>
      <c r="K241" t="s">
        <v>1643</v>
      </c>
      <c r="L241" t="s">
        <v>1738</v>
      </c>
      <c r="M241">
        <v>14161</v>
      </c>
      <c r="N241" t="s">
        <v>1750</v>
      </c>
      <c r="O241" t="s">
        <v>1752</v>
      </c>
      <c r="P241" t="s">
        <v>1751</v>
      </c>
      <c r="Q241">
        <f t="shared" si="3"/>
        <v>170.6144578313253</v>
      </c>
    </row>
    <row r="242" spans="1:17" x14ac:dyDescent="0.3">
      <c r="A242" t="s">
        <v>253</v>
      </c>
      <c r="B242" t="s">
        <v>726</v>
      </c>
      <c r="C242">
        <v>26</v>
      </c>
      <c r="D242" t="s">
        <v>892</v>
      </c>
      <c r="E242" t="s">
        <v>894</v>
      </c>
      <c r="F242" t="s">
        <v>903</v>
      </c>
      <c r="G242" t="s">
        <v>930</v>
      </c>
      <c r="H242" t="s">
        <v>1154</v>
      </c>
      <c r="I242" t="s">
        <v>1408</v>
      </c>
      <c r="J242">
        <v>1</v>
      </c>
      <c r="K242" t="s">
        <v>1601</v>
      </c>
      <c r="L242" t="s">
        <v>1736</v>
      </c>
      <c r="M242">
        <v>18280</v>
      </c>
      <c r="N242" t="s">
        <v>1751</v>
      </c>
      <c r="O242" t="s">
        <v>1754</v>
      </c>
      <c r="P242" t="s">
        <v>1751</v>
      </c>
      <c r="Q242">
        <f t="shared" si="3"/>
        <v>220.24096385542168</v>
      </c>
    </row>
    <row r="243" spans="1:17" x14ac:dyDescent="0.3">
      <c r="A243" t="s">
        <v>254</v>
      </c>
      <c r="B243" t="s">
        <v>727</v>
      </c>
      <c r="C243">
        <v>73</v>
      </c>
      <c r="D243" t="s">
        <v>892</v>
      </c>
      <c r="E243" t="s">
        <v>893</v>
      </c>
      <c r="F243" t="s">
        <v>909</v>
      </c>
      <c r="G243" t="s">
        <v>920</v>
      </c>
      <c r="H243" t="s">
        <v>1155</v>
      </c>
      <c r="I243" t="s">
        <v>1167</v>
      </c>
      <c r="J243">
        <v>2</v>
      </c>
      <c r="K243" t="s">
        <v>1541</v>
      </c>
      <c r="L243" t="s">
        <v>1738</v>
      </c>
      <c r="M243">
        <v>13864</v>
      </c>
      <c r="N243" t="s">
        <v>1750</v>
      </c>
      <c r="O243" t="s">
        <v>1752</v>
      </c>
      <c r="P243" t="s">
        <v>1751</v>
      </c>
      <c r="Q243">
        <f t="shared" si="3"/>
        <v>167.03614457831324</v>
      </c>
    </row>
    <row r="244" spans="1:17" x14ac:dyDescent="0.3">
      <c r="A244" t="s">
        <v>255</v>
      </c>
      <c r="B244" t="s">
        <v>728</v>
      </c>
      <c r="C244">
        <v>49</v>
      </c>
      <c r="D244" t="s">
        <v>891</v>
      </c>
      <c r="E244" t="s">
        <v>893</v>
      </c>
      <c r="F244" t="s">
        <v>909</v>
      </c>
      <c r="G244" t="s">
        <v>932</v>
      </c>
      <c r="H244" t="s">
        <v>1063</v>
      </c>
      <c r="I244" t="s">
        <v>1025</v>
      </c>
      <c r="J244">
        <v>1</v>
      </c>
      <c r="K244" t="s">
        <v>1651</v>
      </c>
      <c r="L244" t="s">
        <v>1731</v>
      </c>
      <c r="M244">
        <v>37695</v>
      </c>
      <c r="N244" t="s">
        <v>1750</v>
      </c>
      <c r="O244" t="s">
        <v>1756</v>
      </c>
      <c r="P244" t="s">
        <v>1751</v>
      </c>
      <c r="Q244">
        <f t="shared" si="3"/>
        <v>454.15662650602411</v>
      </c>
    </row>
    <row r="245" spans="1:17" x14ac:dyDescent="0.3">
      <c r="A245" t="s">
        <v>256</v>
      </c>
      <c r="B245" t="s">
        <v>652</v>
      </c>
      <c r="C245">
        <v>17</v>
      </c>
      <c r="D245" t="s">
        <v>892</v>
      </c>
      <c r="E245" t="s">
        <v>897</v>
      </c>
      <c r="F245" t="s">
        <v>901</v>
      </c>
      <c r="G245" t="s">
        <v>924</v>
      </c>
      <c r="H245" t="s">
        <v>1156</v>
      </c>
      <c r="I245" t="s">
        <v>1409</v>
      </c>
      <c r="J245">
        <v>8</v>
      </c>
      <c r="K245" t="s">
        <v>1652</v>
      </c>
      <c r="L245" t="s">
        <v>1721</v>
      </c>
      <c r="M245">
        <v>326632</v>
      </c>
      <c r="N245" t="s">
        <v>1751</v>
      </c>
      <c r="O245" t="s">
        <v>1755</v>
      </c>
      <c r="P245" t="s">
        <v>1751</v>
      </c>
      <c r="Q245">
        <f t="shared" si="3"/>
        <v>3935.3253012048194</v>
      </c>
    </row>
    <row r="246" spans="1:17" x14ac:dyDescent="0.3">
      <c r="A246" t="s">
        <v>257</v>
      </c>
      <c r="B246" t="s">
        <v>729</v>
      </c>
      <c r="C246">
        <v>69</v>
      </c>
      <c r="D246" t="s">
        <v>892</v>
      </c>
      <c r="E246" t="s">
        <v>894</v>
      </c>
      <c r="F246" t="s">
        <v>908</v>
      </c>
      <c r="G246" t="s">
        <v>947</v>
      </c>
      <c r="H246" t="s">
        <v>1157</v>
      </c>
      <c r="I246" t="s">
        <v>1313</v>
      </c>
      <c r="J246">
        <v>18</v>
      </c>
      <c r="K246" t="s">
        <v>1653</v>
      </c>
      <c r="L246" t="s">
        <v>1735</v>
      </c>
      <c r="M246">
        <v>621867</v>
      </c>
      <c r="N246" t="s">
        <v>1750</v>
      </c>
      <c r="O246" t="s">
        <v>1755</v>
      </c>
      <c r="P246" t="s">
        <v>1751</v>
      </c>
      <c r="Q246">
        <f t="shared" si="3"/>
        <v>7492.3734939759033</v>
      </c>
    </row>
    <row r="247" spans="1:17" x14ac:dyDescent="0.3">
      <c r="A247" t="s">
        <v>258</v>
      </c>
      <c r="B247" t="s">
        <v>730</v>
      </c>
      <c r="C247">
        <v>17</v>
      </c>
      <c r="D247" t="s">
        <v>891</v>
      </c>
      <c r="E247" t="s">
        <v>894</v>
      </c>
      <c r="F247" t="s">
        <v>901</v>
      </c>
      <c r="G247" t="s">
        <v>910</v>
      </c>
      <c r="H247" t="s">
        <v>1017</v>
      </c>
      <c r="I247" t="s">
        <v>1192</v>
      </c>
      <c r="J247">
        <v>7</v>
      </c>
      <c r="K247" t="s">
        <v>1654</v>
      </c>
      <c r="L247" t="s">
        <v>1733</v>
      </c>
      <c r="M247">
        <v>336536</v>
      </c>
      <c r="N247" t="s">
        <v>1750</v>
      </c>
      <c r="O247" t="s">
        <v>1752</v>
      </c>
      <c r="P247" t="s">
        <v>1751</v>
      </c>
      <c r="Q247">
        <f t="shared" si="3"/>
        <v>4054.6506024096384</v>
      </c>
    </row>
    <row r="248" spans="1:17" x14ac:dyDescent="0.3">
      <c r="A248" t="s">
        <v>259</v>
      </c>
      <c r="B248" t="s">
        <v>695</v>
      </c>
      <c r="C248">
        <v>33</v>
      </c>
      <c r="D248" t="s">
        <v>891</v>
      </c>
      <c r="E248" t="s">
        <v>894</v>
      </c>
      <c r="F248" t="s">
        <v>907</v>
      </c>
      <c r="G248" t="s">
        <v>952</v>
      </c>
      <c r="H248" t="s">
        <v>1158</v>
      </c>
      <c r="I248" t="s">
        <v>1274</v>
      </c>
      <c r="J248">
        <v>4</v>
      </c>
      <c r="K248" t="s">
        <v>1632</v>
      </c>
      <c r="L248" t="s">
        <v>1743</v>
      </c>
      <c r="M248">
        <v>151044</v>
      </c>
      <c r="N248" t="s">
        <v>1750</v>
      </c>
      <c r="O248" t="s">
        <v>1754</v>
      </c>
      <c r="P248" t="s">
        <v>1751</v>
      </c>
      <c r="Q248">
        <f t="shared" si="3"/>
        <v>1819.8072289156626</v>
      </c>
    </row>
    <row r="249" spans="1:17" x14ac:dyDescent="0.3">
      <c r="A249" t="s">
        <v>260</v>
      </c>
      <c r="B249" t="s">
        <v>731</v>
      </c>
      <c r="C249">
        <v>40</v>
      </c>
      <c r="D249" t="s">
        <v>892</v>
      </c>
      <c r="E249" t="s">
        <v>895</v>
      </c>
      <c r="F249" t="s">
        <v>908</v>
      </c>
      <c r="G249" t="s">
        <v>921</v>
      </c>
      <c r="H249" t="s">
        <v>1029</v>
      </c>
      <c r="I249" t="s">
        <v>1410</v>
      </c>
      <c r="J249">
        <v>1</v>
      </c>
      <c r="K249" t="s">
        <v>1655</v>
      </c>
      <c r="L249" t="s">
        <v>1737</v>
      </c>
      <c r="M249">
        <v>29119</v>
      </c>
      <c r="N249" t="s">
        <v>1750</v>
      </c>
      <c r="O249" t="s">
        <v>1755</v>
      </c>
      <c r="P249" t="s">
        <v>1750</v>
      </c>
      <c r="Q249">
        <f t="shared" si="3"/>
        <v>350.8313253012048</v>
      </c>
    </row>
    <row r="250" spans="1:17" x14ac:dyDescent="0.3">
      <c r="A250" t="s">
        <v>261</v>
      </c>
      <c r="B250" t="s">
        <v>732</v>
      </c>
      <c r="C250">
        <v>32</v>
      </c>
      <c r="D250" t="s">
        <v>891</v>
      </c>
      <c r="E250" t="s">
        <v>899</v>
      </c>
      <c r="F250" t="s">
        <v>908</v>
      </c>
      <c r="G250" t="s">
        <v>928</v>
      </c>
      <c r="H250" t="s">
        <v>1159</v>
      </c>
      <c r="I250" t="s">
        <v>1174</v>
      </c>
      <c r="J250">
        <v>15</v>
      </c>
      <c r="K250" t="s">
        <v>1599</v>
      </c>
      <c r="L250" t="s">
        <v>1737</v>
      </c>
      <c r="M250">
        <v>335665</v>
      </c>
      <c r="N250" t="s">
        <v>1751</v>
      </c>
      <c r="O250" t="s">
        <v>1756</v>
      </c>
      <c r="P250" t="s">
        <v>1751</v>
      </c>
      <c r="Q250">
        <f t="shared" si="3"/>
        <v>4044.1566265060242</v>
      </c>
    </row>
    <row r="251" spans="1:17" x14ac:dyDescent="0.3">
      <c r="A251" t="s">
        <v>262</v>
      </c>
      <c r="B251" t="s">
        <v>733</v>
      </c>
      <c r="C251">
        <v>59</v>
      </c>
      <c r="D251" t="s">
        <v>892</v>
      </c>
      <c r="E251" t="s">
        <v>893</v>
      </c>
      <c r="F251" t="s">
        <v>905</v>
      </c>
      <c r="G251" t="s">
        <v>933</v>
      </c>
      <c r="H251" t="s">
        <v>1160</v>
      </c>
      <c r="I251" t="s">
        <v>1348</v>
      </c>
      <c r="J251">
        <v>3</v>
      </c>
      <c r="K251" t="s">
        <v>1501</v>
      </c>
      <c r="L251" t="s">
        <v>1725</v>
      </c>
      <c r="M251">
        <v>99420</v>
      </c>
      <c r="N251" t="s">
        <v>1751</v>
      </c>
      <c r="O251" t="s">
        <v>1755</v>
      </c>
      <c r="P251" t="s">
        <v>1751</v>
      </c>
      <c r="Q251">
        <f t="shared" si="3"/>
        <v>1197.8313253012047</v>
      </c>
    </row>
    <row r="252" spans="1:17" x14ac:dyDescent="0.3">
      <c r="A252" t="s">
        <v>263</v>
      </c>
      <c r="B252" t="s">
        <v>734</v>
      </c>
      <c r="C252">
        <v>75</v>
      </c>
      <c r="D252" t="s">
        <v>892</v>
      </c>
      <c r="E252" t="s">
        <v>894</v>
      </c>
      <c r="F252" t="s">
        <v>908</v>
      </c>
      <c r="G252" t="s">
        <v>921</v>
      </c>
      <c r="H252" t="s">
        <v>1161</v>
      </c>
      <c r="I252" t="s">
        <v>1323</v>
      </c>
      <c r="J252">
        <v>20</v>
      </c>
      <c r="K252" t="s">
        <v>1656</v>
      </c>
      <c r="L252" t="s">
        <v>1735</v>
      </c>
      <c r="M252">
        <v>510566</v>
      </c>
      <c r="N252" t="s">
        <v>1751</v>
      </c>
      <c r="O252" t="s">
        <v>1752</v>
      </c>
      <c r="P252" t="s">
        <v>1751</v>
      </c>
      <c r="Q252">
        <f t="shared" si="3"/>
        <v>6151.3975903614455</v>
      </c>
    </row>
    <row r="253" spans="1:17" x14ac:dyDescent="0.3">
      <c r="A253" t="s">
        <v>264</v>
      </c>
      <c r="B253" t="s">
        <v>659</v>
      </c>
      <c r="C253">
        <v>71</v>
      </c>
      <c r="D253" t="s">
        <v>891</v>
      </c>
      <c r="E253" t="s">
        <v>899</v>
      </c>
      <c r="F253" t="s">
        <v>907</v>
      </c>
      <c r="G253" t="s">
        <v>945</v>
      </c>
      <c r="H253" t="s">
        <v>1037</v>
      </c>
      <c r="I253" t="s">
        <v>1160</v>
      </c>
      <c r="J253">
        <v>33</v>
      </c>
      <c r="K253" t="s">
        <v>1581</v>
      </c>
      <c r="L253" t="s">
        <v>1749</v>
      </c>
      <c r="M253">
        <v>1122471</v>
      </c>
      <c r="N253" t="s">
        <v>1750</v>
      </c>
      <c r="O253" t="s">
        <v>1754</v>
      </c>
      <c r="P253" t="s">
        <v>1750</v>
      </c>
      <c r="Q253">
        <f t="shared" si="3"/>
        <v>13523.746987951807</v>
      </c>
    </row>
    <row r="254" spans="1:17" x14ac:dyDescent="0.3">
      <c r="A254" t="s">
        <v>265</v>
      </c>
      <c r="B254" t="s">
        <v>599</v>
      </c>
      <c r="C254">
        <v>44</v>
      </c>
      <c r="D254" t="s">
        <v>891</v>
      </c>
      <c r="E254" t="s">
        <v>893</v>
      </c>
      <c r="F254" t="s">
        <v>909</v>
      </c>
      <c r="G254" t="s">
        <v>920</v>
      </c>
      <c r="H254" t="s">
        <v>979</v>
      </c>
      <c r="I254" t="s">
        <v>1343</v>
      </c>
      <c r="J254">
        <v>3</v>
      </c>
      <c r="K254" t="s">
        <v>1566</v>
      </c>
      <c r="L254" t="s">
        <v>1741</v>
      </c>
      <c r="M254">
        <v>83907</v>
      </c>
      <c r="N254" t="s">
        <v>1750</v>
      </c>
      <c r="O254" t="s">
        <v>1754</v>
      </c>
      <c r="P254" t="s">
        <v>1751</v>
      </c>
      <c r="Q254">
        <f t="shared" si="3"/>
        <v>1010.9277108433735</v>
      </c>
    </row>
    <row r="255" spans="1:17" x14ac:dyDescent="0.3">
      <c r="A255" t="s">
        <v>266</v>
      </c>
      <c r="B255" t="s">
        <v>735</v>
      </c>
      <c r="C255">
        <v>29</v>
      </c>
      <c r="D255" t="s">
        <v>892</v>
      </c>
      <c r="E255" t="s">
        <v>893</v>
      </c>
      <c r="F255" t="s">
        <v>904</v>
      </c>
      <c r="G255" t="s">
        <v>937</v>
      </c>
      <c r="H255" t="s">
        <v>1162</v>
      </c>
      <c r="I255" t="s">
        <v>1209</v>
      </c>
      <c r="J255">
        <v>1</v>
      </c>
      <c r="K255" t="s">
        <v>1615</v>
      </c>
      <c r="L255" t="s">
        <v>1742</v>
      </c>
      <c r="M255">
        <v>17196</v>
      </c>
      <c r="N255" t="s">
        <v>1751</v>
      </c>
      <c r="O255" t="s">
        <v>1754</v>
      </c>
      <c r="P255" t="s">
        <v>1751</v>
      </c>
      <c r="Q255">
        <f t="shared" si="3"/>
        <v>207.18072289156626</v>
      </c>
    </row>
    <row r="256" spans="1:17" x14ac:dyDescent="0.3">
      <c r="A256" t="s">
        <v>267</v>
      </c>
      <c r="B256" t="s">
        <v>736</v>
      </c>
      <c r="C256">
        <v>39</v>
      </c>
      <c r="D256" t="s">
        <v>891</v>
      </c>
      <c r="E256" t="s">
        <v>894</v>
      </c>
      <c r="F256" t="s">
        <v>907</v>
      </c>
      <c r="G256" t="s">
        <v>952</v>
      </c>
      <c r="H256" t="s">
        <v>1163</v>
      </c>
      <c r="I256" t="s">
        <v>1341</v>
      </c>
      <c r="J256">
        <v>4</v>
      </c>
      <c r="K256" t="s">
        <v>1499</v>
      </c>
      <c r="L256" t="s">
        <v>1749</v>
      </c>
      <c r="M256">
        <v>110739</v>
      </c>
      <c r="N256" t="s">
        <v>1750</v>
      </c>
      <c r="O256" t="s">
        <v>1754</v>
      </c>
      <c r="P256" t="s">
        <v>1751</v>
      </c>
      <c r="Q256">
        <f t="shared" si="3"/>
        <v>1334.2048192771085</v>
      </c>
    </row>
    <row r="257" spans="1:17" x14ac:dyDescent="0.3">
      <c r="A257" t="s">
        <v>268</v>
      </c>
      <c r="B257" t="s">
        <v>737</v>
      </c>
      <c r="C257">
        <v>39</v>
      </c>
      <c r="D257" t="s">
        <v>891</v>
      </c>
      <c r="E257" t="s">
        <v>893</v>
      </c>
      <c r="F257" t="s">
        <v>909</v>
      </c>
      <c r="G257" t="s">
        <v>920</v>
      </c>
      <c r="H257" t="s">
        <v>1164</v>
      </c>
      <c r="I257" t="s">
        <v>1401</v>
      </c>
      <c r="J257">
        <v>3</v>
      </c>
      <c r="K257" t="s">
        <v>1657</v>
      </c>
      <c r="L257" t="s">
        <v>1732</v>
      </c>
      <c r="M257">
        <v>45886</v>
      </c>
      <c r="N257" t="s">
        <v>1750</v>
      </c>
      <c r="O257" t="s">
        <v>1753</v>
      </c>
      <c r="P257" t="s">
        <v>1750</v>
      </c>
      <c r="Q257">
        <f t="shared" si="3"/>
        <v>552.84337349397595</v>
      </c>
    </row>
    <row r="258" spans="1:17" x14ac:dyDescent="0.3">
      <c r="A258" t="s">
        <v>269</v>
      </c>
      <c r="B258" t="s">
        <v>738</v>
      </c>
      <c r="C258">
        <v>12</v>
      </c>
      <c r="D258" t="s">
        <v>892</v>
      </c>
      <c r="E258" t="s">
        <v>897</v>
      </c>
      <c r="F258" t="s">
        <v>901</v>
      </c>
      <c r="G258" t="s">
        <v>943</v>
      </c>
      <c r="H258" t="s">
        <v>1165</v>
      </c>
      <c r="I258" t="s">
        <v>1135</v>
      </c>
      <c r="J258">
        <v>1</v>
      </c>
      <c r="K258" t="s">
        <v>1658</v>
      </c>
      <c r="L258" t="s">
        <v>1721</v>
      </c>
      <c r="M258">
        <v>43360</v>
      </c>
      <c r="N258" t="s">
        <v>1750</v>
      </c>
      <c r="O258" t="s">
        <v>1754</v>
      </c>
      <c r="P258" t="s">
        <v>1751</v>
      </c>
      <c r="Q258">
        <f t="shared" si="3"/>
        <v>522.40963855421683</v>
      </c>
    </row>
    <row r="259" spans="1:17" x14ac:dyDescent="0.3">
      <c r="A259" t="s">
        <v>270</v>
      </c>
      <c r="B259" t="s">
        <v>739</v>
      </c>
      <c r="C259">
        <v>6</v>
      </c>
      <c r="D259" t="s">
        <v>892</v>
      </c>
      <c r="E259" t="s">
        <v>898</v>
      </c>
      <c r="F259" t="s">
        <v>901</v>
      </c>
      <c r="G259" t="s">
        <v>943</v>
      </c>
      <c r="H259" t="s">
        <v>1163</v>
      </c>
      <c r="I259" t="s">
        <v>1411</v>
      </c>
      <c r="J259">
        <v>1</v>
      </c>
      <c r="K259" t="s">
        <v>1611</v>
      </c>
      <c r="L259" t="s">
        <v>1721</v>
      </c>
      <c r="M259">
        <v>19416</v>
      </c>
      <c r="N259" t="s">
        <v>1751</v>
      </c>
      <c r="O259" t="s">
        <v>1755</v>
      </c>
      <c r="P259" t="s">
        <v>1751</v>
      </c>
      <c r="Q259">
        <f t="shared" si="3"/>
        <v>233.92771084337349</v>
      </c>
    </row>
    <row r="260" spans="1:17" x14ac:dyDescent="0.3">
      <c r="A260" t="s">
        <v>271</v>
      </c>
      <c r="B260" t="s">
        <v>740</v>
      </c>
      <c r="C260">
        <v>41</v>
      </c>
      <c r="D260" t="s">
        <v>892</v>
      </c>
      <c r="E260" t="s">
        <v>897</v>
      </c>
      <c r="F260" t="s">
        <v>903</v>
      </c>
      <c r="G260" t="s">
        <v>930</v>
      </c>
      <c r="H260" t="s">
        <v>1166</v>
      </c>
      <c r="I260" t="s">
        <v>1129</v>
      </c>
      <c r="J260">
        <v>3</v>
      </c>
      <c r="K260" t="s">
        <v>1659</v>
      </c>
      <c r="L260" t="s">
        <v>1734</v>
      </c>
      <c r="M260">
        <v>47563</v>
      </c>
      <c r="N260" t="s">
        <v>1750</v>
      </c>
      <c r="O260" t="s">
        <v>1754</v>
      </c>
      <c r="P260" t="s">
        <v>1751</v>
      </c>
      <c r="Q260">
        <f t="shared" si="3"/>
        <v>573.04819277108436</v>
      </c>
    </row>
    <row r="261" spans="1:17" x14ac:dyDescent="0.3">
      <c r="A261" t="s">
        <v>272</v>
      </c>
      <c r="B261" t="s">
        <v>741</v>
      </c>
      <c r="C261">
        <v>72</v>
      </c>
      <c r="D261" t="s">
        <v>891</v>
      </c>
      <c r="E261" t="s">
        <v>894</v>
      </c>
      <c r="F261" t="s">
        <v>902</v>
      </c>
      <c r="G261" t="s">
        <v>949</v>
      </c>
      <c r="H261" t="s">
        <v>1124</v>
      </c>
      <c r="I261" t="s">
        <v>1290</v>
      </c>
      <c r="J261">
        <v>13</v>
      </c>
      <c r="K261" t="s">
        <v>1660</v>
      </c>
      <c r="L261" t="s">
        <v>1744</v>
      </c>
      <c r="M261">
        <v>680833</v>
      </c>
      <c r="N261" t="s">
        <v>1750</v>
      </c>
      <c r="O261" t="s">
        <v>1754</v>
      </c>
      <c r="P261" t="s">
        <v>1751</v>
      </c>
      <c r="Q261">
        <f t="shared" ref="Q261:Q324" si="4">M261/83</f>
        <v>8202.8072289156626</v>
      </c>
    </row>
    <row r="262" spans="1:17" x14ac:dyDescent="0.3">
      <c r="A262" t="s">
        <v>273</v>
      </c>
      <c r="B262" t="s">
        <v>742</v>
      </c>
      <c r="C262">
        <v>2</v>
      </c>
      <c r="D262" t="s">
        <v>892</v>
      </c>
      <c r="E262" t="s">
        <v>900</v>
      </c>
      <c r="F262" t="s">
        <v>901</v>
      </c>
      <c r="G262" t="s">
        <v>948</v>
      </c>
      <c r="H262" t="s">
        <v>1155</v>
      </c>
      <c r="I262" t="s">
        <v>1072</v>
      </c>
      <c r="J262">
        <v>3</v>
      </c>
      <c r="K262" t="s">
        <v>1603</v>
      </c>
      <c r="L262" t="s">
        <v>1733</v>
      </c>
      <c r="M262">
        <v>24551</v>
      </c>
      <c r="N262" t="s">
        <v>1750</v>
      </c>
      <c r="O262" t="s">
        <v>1756</v>
      </c>
      <c r="P262" t="s">
        <v>1751</v>
      </c>
      <c r="Q262">
        <f t="shared" si="4"/>
        <v>295.79518072289159</v>
      </c>
    </row>
    <row r="263" spans="1:17" x14ac:dyDescent="0.3">
      <c r="A263" t="s">
        <v>274</v>
      </c>
      <c r="B263" t="s">
        <v>660</v>
      </c>
      <c r="C263">
        <v>78</v>
      </c>
      <c r="D263" t="s">
        <v>891</v>
      </c>
      <c r="E263" t="s">
        <v>894</v>
      </c>
      <c r="F263" t="s">
        <v>908</v>
      </c>
      <c r="G263" t="s">
        <v>917</v>
      </c>
      <c r="H263" t="s">
        <v>1015</v>
      </c>
      <c r="I263" t="s">
        <v>1030</v>
      </c>
      <c r="J263">
        <v>5</v>
      </c>
      <c r="K263" t="s">
        <v>1593</v>
      </c>
      <c r="L263" t="s">
        <v>1737</v>
      </c>
      <c r="M263">
        <v>234975</v>
      </c>
      <c r="N263" t="s">
        <v>1750</v>
      </c>
      <c r="O263" t="s">
        <v>1752</v>
      </c>
      <c r="P263" t="s">
        <v>1751</v>
      </c>
      <c r="Q263">
        <f t="shared" si="4"/>
        <v>2831.0240963855422</v>
      </c>
    </row>
    <row r="264" spans="1:17" x14ac:dyDescent="0.3">
      <c r="A264" t="s">
        <v>275</v>
      </c>
      <c r="B264" t="s">
        <v>743</v>
      </c>
      <c r="C264">
        <v>60</v>
      </c>
      <c r="D264" t="s">
        <v>891</v>
      </c>
      <c r="E264" t="s">
        <v>894</v>
      </c>
      <c r="F264" t="s">
        <v>907</v>
      </c>
      <c r="G264" t="s">
        <v>931</v>
      </c>
      <c r="H264" t="s">
        <v>1167</v>
      </c>
      <c r="I264" t="s">
        <v>1072</v>
      </c>
      <c r="J264">
        <v>1</v>
      </c>
      <c r="K264" t="s">
        <v>1604</v>
      </c>
      <c r="L264" t="s">
        <v>1749</v>
      </c>
      <c r="M264">
        <v>25098</v>
      </c>
      <c r="N264" t="s">
        <v>1751</v>
      </c>
      <c r="O264" t="s">
        <v>1756</v>
      </c>
      <c r="P264" t="s">
        <v>1751</v>
      </c>
      <c r="Q264">
        <f t="shared" si="4"/>
        <v>302.3855421686747</v>
      </c>
    </row>
    <row r="265" spans="1:17" x14ac:dyDescent="0.3">
      <c r="A265" t="s">
        <v>276</v>
      </c>
      <c r="B265" t="s">
        <v>744</v>
      </c>
      <c r="C265">
        <v>68</v>
      </c>
      <c r="D265" t="s">
        <v>892</v>
      </c>
      <c r="E265" t="s">
        <v>894</v>
      </c>
      <c r="F265" t="s">
        <v>908</v>
      </c>
      <c r="G265" t="s">
        <v>917</v>
      </c>
      <c r="H265" t="s">
        <v>1168</v>
      </c>
      <c r="I265" t="s">
        <v>1412</v>
      </c>
      <c r="J265">
        <v>5</v>
      </c>
      <c r="K265" t="s">
        <v>1527</v>
      </c>
      <c r="L265" t="s">
        <v>1728</v>
      </c>
      <c r="M265">
        <v>96152</v>
      </c>
      <c r="N265" t="s">
        <v>1750</v>
      </c>
      <c r="O265" t="s">
        <v>1754</v>
      </c>
      <c r="P265" t="s">
        <v>1751</v>
      </c>
      <c r="Q265">
        <f t="shared" si="4"/>
        <v>1158.4578313253012</v>
      </c>
    </row>
    <row r="266" spans="1:17" x14ac:dyDescent="0.3">
      <c r="A266" t="s">
        <v>277</v>
      </c>
      <c r="B266" t="s">
        <v>745</v>
      </c>
      <c r="C266">
        <v>37</v>
      </c>
      <c r="D266" t="s">
        <v>892</v>
      </c>
      <c r="E266" t="s">
        <v>894</v>
      </c>
      <c r="F266" t="s">
        <v>904</v>
      </c>
      <c r="G266" t="s">
        <v>937</v>
      </c>
      <c r="H266" t="s">
        <v>1169</v>
      </c>
      <c r="I266" t="s">
        <v>970</v>
      </c>
      <c r="J266">
        <v>13</v>
      </c>
      <c r="K266" t="s">
        <v>1646</v>
      </c>
      <c r="L266" t="s">
        <v>1724</v>
      </c>
      <c r="M266">
        <v>303944</v>
      </c>
      <c r="N266" t="s">
        <v>1750</v>
      </c>
      <c r="O266" t="s">
        <v>1754</v>
      </c>
      <c r="P266" t="s">
        <v>1751</v>
      </c>
      <c r="Q266">
        <f t="shared" si="4"/>
        <v>3661.9759036144578</v>
      </c>
    </row>
    <row r="267" spans="1:17" x14ac:dyDescent="0.3">
      <c r="A267" t="s">
        <v>278</v>
      </c>
      <c r="B267" t="s">
        <v>594</v>
      </c>
      <c r="C267">
        <v>75</v>
      </c>
      <c r="D267" t="s">
        <v>892</v>
      </c>
      <c r="E267" t="s">
        <v>894</v>
      </c>
      <c r="F267" t="s">
        <v>907</v>
      </c>
      <c r="G267" t="s">
        <v>938</v>
      </c>
      <c r="H267" t="s">
        <v>1170</v>
      </c>
      <c r="I267" t="s">
        <v>1413</v>
      </c>
      <c r="J267">
        <v>1</v>
      </c>
      <c r="K267" t="s">
        <v>1499</v>
      </c>
      <c r="L267" t="s">
        <v>1749</v>
      </c>
      <c r="M267">
        <v>27526</v>
      </c>
      <c r="N267" t="s">
        <v>1750</v>
      </c>
      <c r="O267" t="s">
        <v>1753</v>
      </c>
      <c r="P267" t="s">
        <v>1751</v>
      </c>
      <c r="Q267">
        <f t="shared" si="4"/>
        <v>331.63855421686748</v>
      </c>
    </row>
    <row r="268" spans="1:17" x14ac:dyDescent="0.3">
      <c r="A268" t="s">
        <v>279</v>
      </c>
      <c r="B268" t="s">
        <v>559</v>
      </c>
      <c r="C268">
        <v>52</v>
      </c>
      <c r="D268" t="s">
        <v>891</v>
      </c>
      <c r="E268" t="s">
        <v>894</v>
      </c>
      <c r="F268" t="s">
        <v>903</v>
      </c>
      <c r="G268" t="s">
        <v>926</v>
      </c>
      <c r="H268" t="s">
        <v>1171</v>
      </c>
      <c r="I268" t="s">
        <v>1186</v>
      </c>
      <c r="J268">
        <v>2</v>
      </c>
      <c r="K268" t="s">
        <v>1661</v>
      </c>
      <c r="L268" t="s">
        <v>1748</v>
      </c>
      <c r="M268">
        <v>49807</v>
      </c>
      <c r="N268" t="s">
        <v>1750</v>
      </c>
      <c r="O268" t="s">
        <v>1755</v>
      </c>
      <c r="P268" t="s">
        <v>1750</v>
      </c>
      <c r="Q268">
        <f t="shared" si="4"/>
        <v>600.08433734939763</v>
      </c>
    </row>
    <row r="269" spans="1:17" x14ac:dyDescent="0.3">
      <c r="A269" t="s">
        <v>280</v>
      </c>
      <c r="B269" t="s">
        <v>746</v>
      </c>
      <c r="C269">
        <v>38</v>
      </c>
      <c r="D269" t="s">
        <v>892</v>
      </c>
      <c r="E269" t="s">
        <v>893</v>
      </c>
      <c r="F269" t="s">
        <v>902</v>
      </c>
      <c r="G269" t="s">
        <v>911</v>
      </c>
      <c r="H269" t="s">
        <v>1074</v>
      </c>
      <c r="I269" t="s">
        <v>1414</v>
      </c>
      <c r="J269">
        <v>10</v>
      </c>
      <c r="K269" t="s">
        <v>1662</v>
      </c>
      <c r="L269" t="s">
        <v>1722</v>
      </c>
      <c r="M269">
        <v>311488</v>
      </c>
      <c r="N269" t="s">
        <v>1750</v>
      </c>
      <c r="O269" t="s">
        <v>1756</v>
      </c>
      <c r="P269" t="s">
        <v>1751</v>
      </c>
      <c r="Q269">
        <f t="shared" si="4"/>
        <v>3752.867469879518</v>
      </c>
    </row>
    <row r="270" spans="1:17" x14ac:dyDescent="0.3">
      <c r="A270" t="s">
        <v>281</v>
      </c>
      <c r="B270" t="s">
        <v>747</v>
      </c>
      <c r="C270">
        <v>1</v>
      </c>
      <c r="D270" t="s">
        <v>891</v>
      </c>
      <c r="E270" t="s">
        <v>897</v>
      </c>
      <c r="F270" t="s">
        <v>901</v>
      </c>
      <c r="G270" t="s">
        <v>943</v>
      </c>
      <c r="H270" t="s">
        <v>1172</v>
      </c>
      <c r="I270" t="s">
        <v>1415</v>
      </c>
      <c r="J270">
        <v>4</v>
      </c>
      <c r="K270" t="s">
        <v>1603</v>
      </c>
      <c r="L270" t="s">
        <v>1733</v>
      </c>
      <c r="M270">
        <v>61462</v>
      </c>
      <c r="N270" t="s">
        <v>1750</v>
      </c>
      <c r="O270" t="s">
        <v>1755</v>
      </c>
      <c r="P270" t="s">
        <v>1751</v>
      </c>
      <c r="Q270">
        <f t="shared" si="4"/>
        <v>740.50602409638554</v>
      </c>
    </row>
    <row r="271" spans="1:17" x14ac:dyDescent="0.3">
      <c r="A271" t="s">
        <v>282</v>
      </c>
      <c r="B271" t="s">
        <v>748</v>
      </c>
      <c r="C271">
        <v>62</v>
      </c>
      <c r="D271" t="s">
        <v>891</v>
      </c>
      <c r="E271" t="s">
        <v>893</v>
      </c>
      <c r="F271" t="s">
        <v>907</v>
      </c>
      <c r="G271" t="s">
        <v>916</v>
      </c>
      <c r="H271" t="s">
        <v>1173</v>
      </c>
      <c r="I271" t="s">
        <v>1416</v>
      </c>
      <c r="J271">
        <v>11</v>
      </c>
      <c r="K271" t="s">
        <v>1663</v>
      </c>
      <c r="L271" t="s">
        <v>1743</v>
      </c>
      <c r="M271">
        <v>405962</v>
      </c>
      <c r="N271" t="s">
        <v>1750</v>
      </c>
      <c r="O271" t="s">
        <v>1754</v>
      </c>
      <c r="P271" t="s">
        <v>1751</v>
      </c>
      <c r="Q271">
        <f t="shared" si="4"/>
        <v>4891.1084337349394</v>
      </c>
    </row>
    <row r="272" spans="1:17" x14ac:dyDescent="0.3">
      <c r="A272" t="s">
        <v>283</v>
      </c>
      <c r="B272" t="s">
        <v>736</v>
      </c>
      <c r="C272">
        <v>45</v>
      </c>
      <c r="D272" t="s">
        <v>891</v>
      </c>
      <c r="E272" t="s">
        <v>893</v>
      </c>
      <c r="F272" t="s">
        <v>904</v>
      </c>
      <c r="G272" t="s">
        <v>913</v>
      </c>
      <c r="H272" t="s">
        <v>1165</v>
      </c>
      <c r="I272" t="s">
        <v>1020</v>
      </c>
      <c r="J272">
        <v>3</v>
      </c>
      <c r="K272" t="s">
        <v>1664</v>
      </c>
      <c r="L272" t="s">
        <v>1747</v>
      </c>
      <c r="M272">
        <v>81182</v>
      </c>
      <c r="N272" t="s">
        <v>1751</v>
      </c>
      <c r="O272" t="s">
        <v>1754</v>
      </c>
      <c r="P272" t="s">
        <v>1751</v>
      </c>
      <c r="Q272">
        <f t="shared" si="4"/>
        <v>978.09638554216872</v>
      </c>
    </row>
    <row r="273" spans="1:17" x14ac:dyDescent="0.3">
      <c r="A273" t="s">
        <v>284</v>
      </c>
      <c r="B273" t="s">
        <v>749</v>
      </c>
      <c r="C273">
        <v>71</v>
      </c>
      <c r="D273" t="s">
        <v>892</v>
      </c>
      <c r="E273" t="s">
        <v>894</v>
      </c>
      <c r="F273" t="s">
        <v>902</v>
      </c>
      <c r="G273" t="s">
        <v>944</v>
      </c>
      <c r="H273" t="s">
        <v>1174</v>
      </c>
      <c r="I273" t="s">
        <v>1316</v>
      </c>
      <c r="J273">
        <v>2</v>
      </c>
      <c r="K273" t="s">
        <v>1578</v>
      </c>
      <c r="L273" t="s">
        <v>1722</v>
      </c>
      <c r="M273">
        <v>43463</v>
      </c>
      <c r="N273" t="s">
        <v>1750</v>
      </c>
      <c r="O273" t="s">
        <v>1753</v>
      </c>
      <c r="P273" t="s">
        <v>1751</v>
      </c>
      <c r="Q273">
        <f t="shared" si="4"/>
        <v>523.65060240963851</v>
      </c>
    </row>
    <row r="274" spans="1:17" x14ac:dyDescent="0.3">
      <c r="A274" t="s">
        <v>285</v>
      </c>
      <c r="B274" t="s">
        <v>705</v>
      </c>
      <c r="C274">
        <v>49</v>
      </c>
      <c r="D274" t="s">
        <v>892</v>
      </c>
      <c r="E274" t="s">
        <v>893</v>
      </c>
      <c r="F274" t="s">
        <v>907</v>
      </c>
      <c r="G274" t="s">
        <v>916</v>
      </c>
      <c r="H274" t="s">
        <v>1093</v>
      </c>
      <c r="I274" t="s">
        <v>1248</v>
      </c>
      <c r="J274">
        <v>3</v>
      </c>
      <c r="K274" t="s">
        <v>1518</v>
      </c>
      <c r="L274" t="s">
        <v>1727</v>
      </c>
      <c r="M274">
        <v>105889</v>
      </c>
      <c r="N274" t="s">
        <v>1751</v>
      </c>
      <c r="O274" t="s">
        <v>1752</v>
      </c>
      <c r="P274" t="s">
        <v>1751</v>
      </c>
      <c r="Q274">
        <f t="shared" si="4"/>
        <v>1275.7710843373493</v>
      </c>
    </row>
    <row r="275" spans="1:17" x14ac:dyDescent="0.3">
      <c r="A275" t="s">
        <v>286</v>
      </c>
      <c r="B275" t="s">
        <v>750</v>
      </c>
      <c r="C275">
        <v>79</v>
      </c>
      <c r="D275" t="s">
        <v>892</v>
      </c>
      <c r="E275" t="s">
        <v>894</v>
      </c>
      <c r="F275" t="s">
        <v>903</v>
      </c>
      <c r="G275" t="s">
        <v>941</v>
      </c>
      <c r="H275" t="s">
        <v>1031</v>
      </c>
      <c r="I275" t="s">
        <v>1417</v>
      </c>
      <c r="J275">
        <v>6</v>
      </c>
      <c r="K275" t="s">
        <v>1665</v>
      </c>
      <c r="L275" t="s">
        <v>1736</v>
      </c>
      <c r="M275">
        <v>76858</v>
      </c>
      <c r="N275" t="s">
        <v>1750</v>
      </c>
      <c r="O275" t="s">
        <v>1753</v>
      </c>
      <c r="P275" t="s">
        <v>1751</v>
      </c>
      <c r="Q275">
        <f t="shared" si="4"/>
        <v>926</v>
      </c>
    </row>
    <row r="276" spans="1:17" x14ac:dyDescent="0.3">
      <c r="A276" t="s">
        <v>287</v>
      </c>
      <c r="B276" t="s">
        <v>708</v>
      </c>
      <c r="C276">
        <v>69</v>
      </c>
      <c r="D276" t="s">
        <v>892</v>
      </c>
      <c r="E276" t="s">
        <v>893</v>
      </c>
      <c r="F276" t="s">
        <v>906</v>
      </c>
      <c r="G276" t="s">
        <v>915</v>
      </c>
      <c r="H276" t="s">
        <v>1175</v>
      </c>
      <c r="I276" t="s">
        <v>1418</v>
      </c>
      <c r="J276">
        <v>8</v>
      </c>
      <c r="K276" t="s">
        <v>1666</v>
      </c>
      <c r="L276" t="s">
        <v>1726</v>
      </c>
      <c r="M276">
        <v>106689</v>
      </c>
      <c r="N276" t="s">
        <v>1751</v>
      </c>
      <c r="O276" t="s">
        <v>1755</v>
      </c>
      <c r="P276" t="s">
        <v>1751</v>
      </c>
      <c r="Q276">
        <f t="shared" si="4"/>
        <v>1285.4096385542168</v>
      </c>
    </row>
    <row r="277" spans="1:17" x14ac:dyDescent="0.3">
      <c r="A277" t="s">
        <v>288</v>
      </c>
      <c r="B277" t="s">
        <v>751</v>
      </c>
      <c r="C277">
        <v>89</v>
      </c>
      <c r="D277" t="s">
        <v>892</v>
      </c>
      <c r="E277" t="s">
        <v>897</v>
      </c>
      <c r="F277" t="s">
        <v>902</v>
      </c>
      <c r="G277" t="s">
        <v>911</v>
      </c>
      <c r="H277" t="s">
        <v>971</v>
      </c>
      <c r="I277" t="s">
        <v>1419</v>
      </c>
      <c r="J277">
        <v>10</v>
      </c>
      <c r="K277" t="s">
        <v>1544</v>
      </c>
      <c r="L277" t="s">
        <v>1744</v>
      </c>
      <c r="M277">
        <v>480920</v>
      </c>
      <c r="N277" t="s">
        <v>1751</v>
      </c>
      <c r="O277" t="s">
        <v>1756</v>
      </c>
      <c r="P277" t="s">
        <v>1751</v>
      </c>
      <c r="Q277">
        <f t="shared" si="4"/>
        <v>5794.2168674698796</v>
      </c>
    </row>
    <row r="278" spans="1:17" x14ac:dyDescent="0.3">
      <c r="A278" t="s">
        <v>289</v>
      </c>
      <c r="B278" t="s">
        <v>608</v>
      </c>
      <c r="C278">
        <v>54</v>
      </c>
      <c r="D278" t="s">
        <v>892</v>
      </c>
      <c r="E278" t="s">
        <v>893</v>
      </c>
      <c r="F278" t="s">
        <v>908</v>
      </c>
      <c r="G278" t="s">
        <v>936</v>
      </c>
      <c r="H278" t="s">
        <v>1176</v>
      </c>
      <c r="I278" t="s">
        <v>1416</v>
      </c>
      <c r="J278">
        <v>14</v>
      </c>
      <c r="K278" t="s">
        <v>1656</v>
      </c>
      <c r="L278" t="s">
        <v>1737</v>
      </c>
      <c r="M278">
        <v>456418</v>
      </c>
      <c r="N278" t="s">
        <v>1751</v>
      </c>
      <c r="O278" t="s">
        <v>1756</v>
      </c>
      <c r="P278" t="s">
        <v>1751</v>
      </c>
      <c r="Q278">
        <f t="shared" si="4"/>
        <v>5499.0120481927706</v>
      </c>
    </row>
    <row r="279" spans="1:17" x14ac:dyDescent="0.3">
      <c r="A279" t="s">
        <v>290</v>
      </c>
      <c r="B279" t="s">
        <v>520</v>
      </c>
      <c r="C279">
        <v>81</v>
      </c>
      <c r="D279" t="s">
        <v>892</v>
      </c>
      <c r="E279" t="s">
        <v>893</v>
      </c>
      <c r="F279" t="s">
        <v>907</v>
      </c>
      <c r="G279" t="s">
        <v>938</v>
      </c>
      <c r="H279" t="s">
        <v>1177</v>
      </c>
      <c r="I279" t="s">
        <v>1420</v>
      </c>
      <c r="J279">
        <v>7</v>
      </c>
      <c r="K279" t="s">
        <v>1598</v>
      </c>
      <c r="L279" t="s">
        <v>1743</v>
      </c>
      <c r="M279">
        <v>177593</v>
      </c>
      <c r="N279" t="s">
        <v>1750</v>
      </c>
      <c r="O279" t="s">
        <v>1753</v>
      </c>
      <c r="P279" t="s">
        <v>1751</v>
      </c>
      <c r="Q279">
        <f t="shared" si="4"/>
        <v>2139.6746987951806</v>
      </c>
    </row>
    <row r="280" spans="1:17" x14ac:dyDescent="0.3">
      <c r="A280" t="s">
        <v>291</v>
      </c>
      <c r="B280" t="s">
        <v>752</v>
      </c>
      <c r="C280">
        <v>82</v>
      </c>
      <c r="D280" t="s">
        <v>891</v>
      </c>
      <c r="E280" t="s">
        <v>893</v>
      </c>
      <c r="F280" t="s">
        <v>905</v>
      </c>
      <c r="G280" t="s">
        <v>914</v>
      </c>
      <c r="H280" t="s">
        <v>1178</v>
      </c>
      <c r="I280" t="s">
        <v>1185</v>
      </c>
      <c r="J280">
        <v>4</v>
      </c>
      <c r="K280" t="s">
        <v>1667</v>
      </c>
      <c r="L280" t="s">
        <v>1729</v>
      </c>
      <c r="M280">
        <v>102224</v>
      </c>
      <c r="N280" t="s">
        <v>1750</v>
      </c>
      <c r="O280" t="s">
        <v>1754</v>
      </c>
      <c r="P280" t="s">
        <v>1751</v>
      </c>
      <c r="Q280">
        <f t="shared" si="4"/>
        <v>1231.6144578313254</v>
      </c>
    </row>
    <row r="281" spans="1:17" x14ac:dyDescent="0.3">
      <c r="A281" t="s">
        <v>292</v>
      </c>
      <c r="B281" t="s">
        <v>718</v>
      </c>
      <c r="C281">
        <v>41</v>
      </c>
      <c r="D281" t="s">
        <v>891</v>
      </c>
      <c r="E281" t="s">
        <v>893</v>
      </c>
      <c r="F281" t="s">
        <v>909</v>
      </c>
      <c r="G281" t="s">
        <v>932</v>
      </c>
      <c r="H281" t="s">
        <v>1179</v>
      </c>
      <c r="I281" t="s">
        <v>1421</v>
      </c>
      <c r="J281">
        <v>3</v>
      </c>
      <c r="K281" t="s">
        <v>1541</v>
      </c>
      <c r="L281" t="s">
        <v>1741</v>
      </c>
      <c r="M281">
        <v>80397</v>
      </c>
      <c r="N281" t="s">
        <v>1750</v>
      </c>
      <c r="O281" t="s">
        <v>1754</v>
      </c>
      <c r="P281" t="s">
        <v>1751</v>
      </c>
      <c r="Q281">
        <f t="shared" si="4"/>
        <v>968.63855421686742</v>
      </c>
    </row>
    <row r="282" spans="1:17" x14ac:dyDescent="0.3">
      <c r="A282" t="s">
        <v>293</v>
      </c>
      <c r="B282" t="s">
        <v>658</v>
      </c>
      <c r="C282">
        <v>64</v>
      </c>
      <c r="D282" t="s">
        <v>892</v>
      </c>
      <c r="E282" t="s">
        <v>897</v>
      </c>
      <c r="F282" t="s">
        <v>908</v>
      </c>
      <c r="G282" t="s">
        <v>936</v>
      </c>
      <c r="H282" t="s">
        <v>1180</v>
      </c>
      <c r="I282" t="s">
        <v>1244</v>
      </c>
      <c r="J282">
        <v>6</v>
      </c>
      <c r="K282" t="s">
        <v>1656</v>
      </c>
      <c r="L282" t="s">
        <v>1737</v>
      </c>
      <c r="M282">
        <v>287389</v>
      </c>
      <c r="N282" t="s">
        <v>1750</v>
      </c>
      <c r="O282" t="s">
        <v>1752</v>
      </c>
      <c r="P282" t="s">
        <v>1751</v>
      </c>
      <c r="Q282">
        <f t="shared" si="4"/>
        <v>3462.5180722891564</v>
      </c>
    </row>
    <row r="283" spans="1:17" x14ac:dyDescent="0.3">
      <c r="A283" t="s">
        <v>294</v>
      </c>
      <c r="B283" t="s">
        <v>533</v>
      </c>
      <c r="C283">
        <v>10</v>
      </c>
      <c r="D283" t="s">
        <v>891</v>
      </c>
      <c r="E283" t="s">
        <v>894</v>
      </c>
      <c r="F283" t="s">
        <v>901</v>
      </c>
      <c r="G283" t="s">
        <v>942</v>
      </c>
      <c r="H283" t="s">
        <v>1181</v>
      </c>
      <c r="I283" t="s">
        <v>1000</v>
      </c>
      <c r="J283">
        <v>3</v>
      </c>
      <c r="K283" t="s">
        <v>1668</v>
      </c>
      <c r="L283" t="s">
        <v>1721</v>
      </c>
      <c r="M283">
        <v>22348</v>
      </c>
      <c r="N283" t="s">
        <v>1751</v>
      </c>
      <c r="O283" t="s">
        <v>1754</v>
      </c>
      <c r="P283" t="s">
        <v>1751</v>
      </c>
      <c r="Q283">
        <f t="shared" si="4"/>
        <v>269.25301204819277</v>
      </c>
    </row>
    <row r="284" spans="1:17" x14ac:dyDescent="0.3">
      <c r="A284" t="s">
        <v>295</v>
      </c>
      <c r="B284" t="s">
        <v>655</v>
      </c>
      <c r="C284">
        <v>27</v>
      </c>
      <c r="D284" t="s">
        <v>892</v>
      </c>
      <c r="E284" t="s">
        <v>897</v>
      </c>
      <c r="F284" t="s">
        <v>904</v>
      </c>
      <c r="G284" t="s">
        <v>934</v>
      </c>
      <c r="H284" t="s">
        <v>1182</v>
      </c>
      <c r="I284" t="s">
        <v>1411</v>
      </c>
      <c r="J284">
        <v>4</v>
      </c>
      <c r="K284" t="s">
        <v>1595</v>
      </c>
      <c r="L284" t="s">
        <v>1724</v>
      </c>
      <c r="M284">
        <v>49312</v>
      </c>
      <c r="N284" t="s">
        <v>1750</v>
      </c>
      <c r="O284" t="s">
        <v>1753</v>
      </c>
      <c r="P284" t="s">
        <v>1751</v>
      </c>
      <c r="Q284">
        <f t="shared" si="4"/>
        <v>594.1204819277109</v>
      </c>
    </row>
    <row r="285" spans="1:17" x14ac:dyDescent="0.3">
      <c r="A285" t="s">
        <v>296</v>
      </c>
      <c r="B285" t="s">
        <v>753</v>
      </c>
      <c r="C285">
        <v>75</v>
      </c>
      <c r="D285" t="s">
        <v>892</v>
      </c>
      <c r="E285" t="s">
        <v>893</v>
      </c>
      <c r="F285" t="s">
        <v>907</v>
      </c>
      <c r="G285" t="s">
        <v>916</v>
      </c>
      <c r="H285" t="s">
        <v>1183</v>
      </c>
      <c r="I285" t="s">
        <v>1422</v>
      </c>
      <c r="J285">
        <v>22</v>
      </c>
      <c r="K285" t="s">
        <v>1581</v>
      </c>
      <c r="L285" t="s">
        <v>1727</v>
      </c>
      <c r="M285">
        <v>641284</v>
      </c>
      <c r="N285" t="s">
        <v>1750</v>
      </c>
      <c r="O285" t="s">
        <v>1754</v>
      </c>
      <c r="P285" t="s">
        <v>1751</v>
      </c>
      <c r="Q285">
        <f t="shared" si="4"/>
        <v>7726.3132530120483</v>
      </c>
    </row>
    <row r="286" spans="1:17" x14ac:dyDescent="0.3">
      <c r="A286" t="s">
        <v>297</v>
      </c>
      <c r="B286" t="s">
        <v>754</v>
      </c>
      <c r="C286">
        <v>74</v>
      </c>
      <c r="D286" t="s">
        <v>891</v>
      </c>
      <c r="E286" t="s">
        <v>893</v>
      </c>
      <c r="F286" t="s">
        <v>908</v>
      </c>
      <c r="G286" t="s">
        <v>947</v>
      </c>
      <c r="H286" t="s">
        <v>1184</v>
      </c>
      <c r="I286" t="s">
        <v>1423</v>
      </c>
      <c r="J286">
        <v>2</v>
      </c>
      <c r="K286" t="s">
        <v>1669</v>
      </c>
      <c r="L286" t="s">
        <v>1735</v>
      </c>
      <c r="M286">
        <v>64702</v>
      </c>
      <c r="N286" t="s">
        <v>1751</v>
      </c>
      <c r="O286" t="s">
        <v>1754</v>
      </c>
      <c r="P286" t="s">
        <v>1751</v>
      </c>
      <c r="Q286">
        <f t="shared" si="4"/>
        <v>779.54216867469881</v>
      </c>
    </row>
    <row r="287" spans="1:17" x14ac:dyDescent="0.3">
      <c r="A287" t="s">
        <v>298</v>
      </c>
      <c r="B287" t="s">
        <v>755</v>
      </c>
      <c r="C287">
        <v>66</v>
      </c>
      <c r="D287" t="s">
        <v>891</v>
      </c>
      <c r="E287" t="s">
        <v>897</v>
      </c>
      <c r="F287" t="s">
        <v>905</v>
      </c>
      <c r="G287" t="s">
        <v>914</v>
      </c>
      <c r="H287" t="s">
        <v>1185</v>
      </c>
      <c r="I287" t="s">
        <v>1015</v>
      </c>
      <c r="J287">
        <v>3</v>
      </c>
      <c r="K287" t="s">
        <v>1614</v>
      </c>
      <c r="L287" t="s">
        <v>1725</v>
      </c>
      <c r="M287">
        <v>70440</v>
      </c>
      <c r="N287" t="s">
        <v>1751</v>
      </c>
      <c r="O287" t="s">
        <v>1754</v>
      </c>
      <c r="P287" t="s">
        <v>1751</v>
      </c>
      <c r="Q287">
        <f t="shared" si="4"/>
        <v>848.67469879518069</v>
      </c>
    </row>
    <row r="288" spans="1:17" x14ac:dyDescent="0.3">
      <c r="A288" t="s">
        <v>299</v>
      </c>
      <c r="B288" t="s">
        <v>756</v>
      </c>
      <c r="C288">
        <v>35</v>
      </c>
      <c r="D288" t="s">
        <v>892</v>
      </c>
      <c r="E288" t="s">
        <v>894</v>
      </c>
      <c r="F288" t="s">
        <v>906</v>
      </c>
      <c r="G288" t="s">
        <v>943</v>
      </c>
      <c r="H288" t="s">
        <v>1186</v>
      </c>
      <c r="I288" t="s">
        <v>1145</v>
      </c>
      <c r="J288">
        <v>1</v>
      </c>
      <c r="K288" t="s">
        <v>1521</v>
      </c>
      <c r="L288" t="s">
        <v>1730</v>
      </c>
      <c r="M288">
        <v>32821</v>
      </c>
      <c r="N288" t="s">
        <v>1751</v>
      </c>
      <c r="O288" t="s">
        <v>1754</v>
      </c>
      <c r="P288" t="s">
        <v>1751</v>
      </c>
      <c r="Q288">
        <f t="shared" si="4"/>
        <v>395.43373493975906</v>
      </c>
    </row>
    <row r="289" spans="1:17" x14ac:dyDescent="0.3">
      <c r="A289" t="s">
        <v>300</v>
      </c>
      <c r="B289" t="s">
        <v>757</v>
      </c>
      <c r="C289">
        <v>6</v>
      </c>
      <c r="D289" t="s">
        <v>892</v>
      </c>
      <c r="E289" t="s">
        <v>895</v>
      </c>
      <c r="F289" t="s">
        <v>901</v>
      </c>
      <c r="G289" t="s">
        <v>942</v>
      </c>
      <c r="H289" t="s">
        <v>1187</v>
      </c>
      <c r="I289" t="s">
        <v>1400</v>
      </c>
      <c r="J289">
        <v>2</v>
      </c>
      <c r="K289" t="s">
        <v>1603</v>
      </c>
      <c r="L289" t="s">
        <v>1745</v>
      </c>
      <c r="M289">
        <v>49138</v>
      </c>
      <c r="N289" t="s">
        <v>1750</v>
      </c>
      <c r="O289" t="s">
        <v>1754</v>
      </c>
      <c r="P289" t="s">
        <v>1751</v>
      </c>
      <c r="Q289">
        <f t="shared" si="4"/>
        <v>592.02409638554218</v>
      </c>
    </row>
    <row r="290" spans="1:17" x14ac:dyDescent="0.3">
      <c r="A290" t="s">
        <v>301</v>
      </c>
      <c r="B290" t="s">
        <v>758</v>
      </c>
      <c r="C290">
        <v>40</v>
      </c>
      <c r="D290" t="s">
        <v>892</v>
      </c>
      <c r="E290" t="s">
        <v>893</v>
      </c>
      <c r="F290" t="s">
        <v>902</v>
      </c>
      <c r="G290" t="s">
        <v>925</v>
      </c>
      <c r="H290" t="s">
        <v>1188</v>
      </c>
      <c r="I290" t="s">
        <v>1268</v>
      </c>
      <c r="J290">
        <v>1</v>
      </c>
      <c r="K290" t="s">
        <v>1513</v>
      </c>
      <c r="L290" t="s">
        <v>1744</v>
      </c>
      <c r="M290">
        <v>45076</v>
      </c>
      <c r="N290" t="s">
        <v>1750</v>
      </c>
      <c r="O290" t="s">
        <v>1754</v>
      </c>
      <c r="P290" t="s">
        <v>1751</v>
      </c>
      <c r="Q290">
        <f t="shared" si="4"/>
        <v>543.08433734939763</v>
      </c>
    </row>
    <row r="291" spans="1:17" x14ac:dyDescent="0.3">
      <c r="A291" t="s">
        <v>302</v>
      </c>
      <c r="B291" t="s">
        <v>759</v>
      </c>
      <c r="C291">
        <v>77</v>
      </c>
      <c r="D291" t="s">
        <v>891</v>
      </c>
      <c r="E291" t="s">
        <v>900</v>
      </c>
      <c r="F291" t="s">
        <v>909</v>
      </c>
      <c r="G291" t="s">
        <v>950</v>
      </c>
      <c r="H291" t="s">
        <v>1189</v>
      </c>
      <c r="I291" t="s">
        <v>1308</v>
      </c>
      <c r="J291">
        <v>1</v>
      </c>
      <c r="K291" t="s">
        <v>1643</v>
      </c>
      <c r="L291" t="s">
        <v>1741</v>
      </c>
      <c r="M291">
        <v>16449</v>
      </c>
      <c r="N291" t="s">
        <v>1751</v>
      </c>
      <c r="O291" t="s">
        <v>1753</v>
      </c>
      <c r="P291" t="s">
        <v>1751</v>
      </c>
      <c r="Q291">
        <f t="shared" si="4"/>
        <v>198.18072289156626</v>
      </c>
    </row>
    <row r="292" spans="1:17" x14ac:dyDescent="0.3">
      <c r="A292" t="s">
        <v>303</v>
      </c>
      <c r="B292" t="s">
        <v>760</v>
      </c>
      <c r="C292">
        <v>72</v>
      </c>
      <c r="D292" t="s">
        <v>892</v>
      </c>
      <c r="E292" t="s">
        <v>893</v>
      </c>
      <c r="F292" t="s">
        <v>902</v>
      </c>
      <c r="G292" t="s">
        <v>925</v>
      </c>
      <c r="H292" t="s">
        <v>1163</v>
      </c>
      <c r="I292" t="s">
        <v>1004</v>
      </c>
      <c r="J292">
        <v>3</v>
      </c>
      <c r="K292" t="s">
        <v>1544</v>
      </c>
      <c r="L292" t="s">
        <v>1722</v>
      </c>
      <c r="M292">
        <v>86233</v>
      </c>
      <c r="N292" t="s">
        <v>1751</v>
      </c>
      <c r="O292" t="s">
        <v>1753</v>
      </c>
      <c r="P292" t="s">
        <v>1751</v>
      </c>
      <c r="Q292">
        <f t="shared" si="4"/>
        <v>1038.9518072289156</v>
      </c>
    </row>
    <row r="293" spans="1:17" x14ac:dyDescent="0.3">
      <c r="A293" t="s">
        <v>304</v>
      </c>
      <c r="B293" t="s">
        <v>680</v>
      </c>
      <c r="C293">
        <v>26</v>
      </c>
      <c r="D293" t="s">
        <v>892</v>
      </c>
      <c r="E293" t="s">
        <v>894</v>
      </c>
      <c r="F293" t="s">
        <v>904</v>
      </c>
      <c r="G293" t="s">
        <v>937</v>
      </c>
      <c r="H293" t="s">
        <v>1190</v>
      </c>
      <c r="I293" t="s">
        <v>1424</v>
      </c>
      <c r="J293">
        <v>1</v>
      </c>
      <c r="K293" t="s">
        <v>1538</v>
      </c>
      <c r="L293" t="s">
        <v>1742</v>
      </c>
      <c r="M293">
        <v>50123</v>
      </c>
      <c r="N293" t="s">
        <v>1751</v>
      </c>
      <c r="O293" t="s">
        <v>1754</v>
      </c>
      <c r="P293" t="s">
        <v>1751</v>
      </c>
      <c r="Q293">
        <f t="shared" si="4"/>
        <v>603.89156626506019</v>
      </c>
    </row>
    <row r="294" spans="1:17" x14ac:dyDescent="0.3">
      <c r="A294" t="s">
        <v>305</v>
      </c>
      <c r="B294" t="s">
        <v>730</v>
      </c>
      <c r="C294">
        <v>43</v>
      </c>
      <c r="D294" t="s">
        <v>891</v>
      </c>
      <c r="E294" t="s">
        <v>897</v>
      </c>
      <c r="F294" t="s">
        <v>904</v>
      </c>
      <c r="G294" t="s">
        <v>934</v>
      </c>
      <c r="H294" t="s">
        <v>1191</v>
      </c>
      <c r="I294" t="s">
        <v>1382</v>
      </c>
      <c r="J294">
        <v>2</v>
      </c>
      <c r="K294" t="s">
        <v>1670</v>
      </c>
      <c r="L294" t="s">
        <v>1742</v>
      </c>
      <c r="M294">
        <v>93240</v>
      </c>
      <c r="N294" t="s">
        <v>1750</v>
      </c>
      <c r="O294" t="s">
        <v>1752</v>
      </c>
      <c r="P294" t="s">
        <v>1751</v>
      </c>
      <c r="Q294">
        <f t="shared" si="4"/>
        <v>1123.3734939759036</v>
      </c>
    </row>
    <row r="295" spans="1:17" x14ac:dyDescent="0.3">
      <c r="A295" t="s">
        <v>306</v>
      </c>
      <c r="B295" t="s">
        <v>761</v>
      </c>
      <c r="C295">
        <v>23</v>
      </c>
      <c r="D295" t="s">
        <v>891</v>
      </c>
      <c r="E295" t="s">
        <v>897</v>
      </c>
      <c r="F295" t="s">
        <v>905</v>
      </c>
      <c r="G295" t="s">
        <v>914</v>
      </c>
      <c r="H295" t="s">
        <v>1192</v>
      </c>
      <c r="I295" t="s">
        <v>1031</v>
      </c>
      <c r="J295">
        <v>1</v>
      </c>
      <c r="K295" t="s">
        <v>1614</v>
      </c>
      <c r="L295" t="s">
        <v>1725</v>
      </c>
      <c r="M295">
        <v>30242</v>
      </c>
      <c r="N295" t="s">
        <v>1750</v>
      </c>
      <c r="O295" t="s">
        <v>1756</v>
      </c>
      <c r="P295" t="s">
        <v>1751</v>
      </c>
      <c r="Q295">
        <f t="shared" si="4"/>
        <v>364.36144578313252</v>
      </c>
    </row>
    <row r="296" spans="1:17" x14ac:dyDescent="0.3">
      <c r="A296" t="s">
        <v>307</v>
      </c>
      <c r="B296" t="s">
        <v>762</v>
      </c>
      <c r="C296">
        <v>73</v>
      </c>
      <c r="D296" t="s">
        <v>891</v>
      </c>
      <c r="E296" t="s">
        <v>894</v>
      </c>
      <c r="F296" t="s">
        <v>906</v>
      </c>
      <c r="G296" t="s">
        <v>927</v>
      </c>
      <c r="H296" t="s">
        <v>1193</v>
      </c>
      <c r="I296" t="s">
        <v>1425</v>
      </c>
      <c r="J296">
        <v>1</v>
      </c>
      <c r="K296" t="s">
        <v>1555</v>
      </c>
      <c r="L296" t="s">
        <v>1726</v>
      </c>
      <c r="M296">
        <v>31266</v>
      </c>
      <c r="N296" t="s">
        <v>1750</v>
      </c>
      <c r="O296" t="s">
        <v>1752</v>
      </c>
      <c r="P296" t="s">
        <v>1751</v>
      </c>
      <c r="Q296">
        <f t="shared" si="4"/>
        <v>376.69879518072287</v>
      </c>
    </row>
    <row r="297" spans="1:17" x14ac:dyDescent="0.3">
      <c r="A297" t="s">
        <v>308</v>
      </c>
      <c r="B297" t="s">
        <v>681</v>
      </c>
      <c r="C297">
        <v>39</v>
      </c>
      <c r="D297" t="s">
        <v>891</v>
      </c>
      <c r="E297" t="s">
        <v>893</v>
      </c>
      <c r="F297" t="s">
        <v>906</v>
      </c>
      <c r="G297" t="s">
        <v>910</v>
      </c>
      <c r="H297" t="s">
        <v>1149</v>
      </c>
      <c r="I297" t="s">
        <v>1426</v>
      </c>
      <c r="J297">
        <v>8</v>
      </c>
      <c r="K297" t="s">
        <v>1528</v>
      </c>
      <c r="L297" t="s">
        <v>1739</v>
      </c>
      <c r="M297">
        <v>182483</v>
      </c>
      <c r="N297" t="s">
        <v>1750</v>
      </c>
      <c r="O297" t="s">
        <v>1753</v>
      </c>
      <c r="P297" t="s">
        <v>1750</v>
      </c>
      <c r="Q297">
        <f t="shared" si="4"/>
        <v>2198.5903614457829</v>
      </c>
    </row>
    <row r="298" spans="1:17" x14ac:dyDescent="0.3">
      <c r="A298" t="s">
        <v>309</v>
      </c>
      <c r="B298" t="s">
        <v>763</v>
      </c>
      <c r="C298">
        <v>75</v>
      </c>
      <c r="D298" t="s">
        <v>892</v>
      </c>
      <c r="E298" t="s">
        <v>893</v>
      </c>
      <c r="F298" t="s">
        <v>905</v>
      </c>
      <c r="G298" t="s">
        <v>914</v>
      </c>
      <c r="H298" t="s">
        <v>1180</v>
      </c>
      <c r="I298" t="s">
        <v>1028</v>
      </c>
      <c r="J298">
        <v>3</v>
      </c>
      <c r="K298" t="s">
        <v>1552</v>
      </c>
      <c r="L298" t="s">
        <v>1725</v>
      </c>
      <c r="M298">
        <v>67369</v>
      </c>
      <c r="N298" t="s">
        <v>1750</v>
      </c>
      <c r="O298" t="s">
        <v>1755</v>
      </c>
      <c r="P298" t="s">
        <v>1751</v>
      </c>
      <c r="Q298">
        <f t="shared" si="4"/>
        <v>811.67469879518069</v>
      </c>
    </row>
    <row r="299" spans="1:17" x14ac:dyDescent="0.3">
      <c r="A299" t="s">
        <v>310</v>
      </c>
      <c r="B299" t="s">
        <v>764</v>
      </c>
      <c r="C299">
        <v>29</v>
      </c>
      <c r="D299" t="s">
        <v>892</v>
      </c>
      <c r="E299" t="s">
        <v>900</v>
      </c>
      <c r="F299" t="s">
        <v>906</v>
      </c>
      <c r="G299" t="s">
        <v>927</v>
      </c>
      <c r="H299" t="s">
        <v>1194</v>
      </c>
      <c r="I299" t="s">
        <v>1427</v>
      </c>
      <c r="J299">
        <v>1</v>
      </c>
      <c r="K299" t="s">
        <v>1671</v>
      </c>
      <c r="L299" t="s">
        <v>1726</v>
      </c>
      <c r="M299">
        <v>39425</v>
      </c>
      <c r="N299" t="s">
        <v>1750</v>
      </c>
      <c r="O299" t="s">
        <v>1756</v>
      </c>
      <c r="P299" t="s">
        <v>1751</v>
      </c>
      <c r="Q299">
        <f t="shared" si="4"/>
        <v>475</v>
      </c>
    </row>
    <row r="300" spans="1:17" x14ac:dyDescent="0.3">
      <c r="A300" t="s">
        <v>311</v>
      </c>
      <c r="B300" t="s">
        <v>605</v>
      </c>
      <c r="C300">
        <v>56</v>
      </c>
      <c r="D300" t="s">
        <v>892</v>
      </c>
      <c r="E300" t="s">
        <v>893</v>
      </c>
      <c r="F300" t="s">
        <v>902</v>
      </c>
      <c r="G300" t="s">
        <v>949</v>
      </c>
      <c r="H300" t="s">
        <v>1195</v>
      </c>
      <c r="I300" t="s">
        <v>1260</v>
      </c>
      <c r="J300">
        <v>3</v>
      </c>
      <c r="K300" t="s">
        <v>1672</v>
      </c>
      <c r="L300" t="s">
        <v>1746</v>
      </c>
      <c r="M300">
        <v>104417</v>
      </c>
      <c r="N300" t="s">
        <v>1751</v>
      </c>
      <c r="O300" t="s">
        <v>1753</v>
      </c>
      <c r="P300" t="s">
        <v>1751</v>
      </c>
      <c r="Q300">
        <f t="shared" si="4"/>
        <v>1258.0361445783133</v>
      </c>
    </row>
    <row r="301" spans="1:17" x14ac:dyDescent="0.3">
      <c r="A301" t="s">
        <v>312</v>
      </c>
      <c r="B301" t="s">
        <v>625</v>
      </c>
      <c r="C301">
        <v>65</v>
      </c>
      <c r="D301" t="s">
        <v>891</v>
      </c>
      <c r="E301" t="s">
        <v>894</v>
      </c>
      <c r="F301" t="s">
        <v>907</v>
      </c>
      <c r="G301" t="s">
        <v>952</v>
      </c>
      <c r="H301" t="s">
        <v>954</v>
      </c>
      <c r="I301" t="s">
        <v>1428</v>
      </c>
      <c r="J301">
        <v>14</v>
      </c>
      <c r="K301" t="s">
        <v>1565</v>
      </c>
      <c r="L301" t="s">
        <v>1743</v>
      </c>
      <c r="M301">
        <v>145600</v>
      </c>
      <c r="N301" t="s">
        <v>1751</v>
      </c>
      <c r="O301" t="s">
        <v>1755</v>
      </c>
      <c r="P301" t="s">
        <v>1750</v>
      </c>
      <c r="Q301">
        <f t="shared" si="4"/>
        <v>1754.2168674698796</v>
      </c>
    </row>
    <row r="302" spans="1:17" x14ac:dyDescent="0.3">
      <c r="A302" t="s">
        <v>313</v>
      </c>
      <c r="B302" t="s">
        <v>604</v>
      </c>
      <c r="C302">
        <v>12</v>
      </c>
      <c r="D302" t="s">
        <v>892</v>
      </c>
      <c r="E302" t="s">
        <v>897</v>
      </c>
      <c r="F302" t="s">
        <v>901</v>
      </c>
      <c r="G302" t="s">
        <v>910</v>
      </c>
      <c r="H302" t="s">
        <v>1196</v>
      </c>
      <c r="I302" t="s">
        <v>1429</v>
      </c>
      <c r="J302">
        <v>1</v>
      </c>
      <c r="K302" t="s">
        <v>1554</v>
      </c>
      <c r="L302" t="s">
        <v>1721</v>
      </c>
      <c r="M302">
        <v>42691</v>
      </c>
      <c r="N302" t="s">
        <v>1751</v>
      </c>
      <c r="O302" t="s">
        <v>1753</v>
      </c>
      <c r="P302" t="s">
        <v>1750</v>
      </c>
      <c r="Q302">
        <f t="shared" si="4"/>
        <v>514.34939759036149</v>
      </c>
    </row>
    <row r="303" spans="1:17" x14ac:dyDescent="0.3">
      <c r="A303" t="s">
        <v>314</v>
      </c>
      <c r="B303" t="s">
        <v>765</v>
      </c>
      <c r="C303">
        <v>18</v>
      </c>
      <c r="D303" t="s">
        <v>891</v>
      </c>
      <c r="E303" t="s">
        <v>894</v>
      </c>
      <c r="F303" t="s">
        <v>906</v>
      </c>
      <c r="G303" t="s">
        <v>915</v>
      </c>
      <c r="H303" t="s">
        <v>1181</v>
      </c>
      <c r="I303" t="s">
        <v>1122</v>
      </c>
      <c r="J303">
        <v>4</v>
      </c>
      <c r="K303" t="s">
        <v>1522</v>
      </c>
      <c r="L303" t="s">
        <v>1739</v>
      </c>
      <c r="M303">
        <v>140019</v>
      </c>
      <c r="N303" t="s">
        <v>1751</v>
      </c>
      <c r="O303" t="s">
        <v>1755</v>
      </c>
      <c r="P303" t="s">
        <v>1751</v>
      </c>
      <c r="Q303">
        <f t="shared" si="4"/>
        <v>1686.9759036144578</v>
      </c>
    </row>
    <row r="304" spans="1:17" x14ac:dyDescent="0.3">
      <c r="A304" t="s">
        <v>315</v>
      </c>
      <c r="B304" t="s">
        <v>766</v>
      </c>
      <c r="C304">
        <v>71</v>
      </c>
      <c r="D304" t="s">
        <v>891</v>
      </c>
      <c r="E304" t="s">
        <v>897</v>
      </c>
      <c r="F304" t="s">
        <v>908</v>
      </c>
      <c r="G304" t="s">
        <v>947</v>
      </c>
      <c r="H304" t="s">
        <v>1197</v>
      </c>
      <c r="I304" t="s">
        <v>1164</v>
      </c>
      <c r="J304">
        <v>1</v>
      </c>
      <c r="K304" t="s">
        <v>1653</v>
      </c>
      <c r="L304" t="s">
        <v>1735</v>
      </c>
      <c r="M304">
        <v>38123</v>
      </c>
      <c r="N304" t="s">
        <v>1750</v>
      </c>
      <c r="O304" t="s">
        <v>1752</v>
      </c>
      <c r="P304" t="s">
        <v>1751</v>
      </c>
      <c r="Q304">
        <f t="shared" si="4"/>
        <v>459.31325301204816</v>
      </c>
    </row>
    <row r="305" spans="1:17" x14ac:dyDescent="0.3">
      <c r="A305" t="s">
        <v>316</v>
      </c>
      <c r="B305" t="s">
        <v>537</v>
      </c>
      <c r="C305">
        <v>78</v>
      </c>
      <c r="D305" t="s">
        <v>891</v>
      </c>
      <c r="E305" t="s">
        <v>894</v>
      </c>
      <c r="F305" t="s">
        <v>907</v>
      </c>
      <c r="G305" t="s">
        <v>952</v>
      </c>
      <c r="H305" t="s">
        <v>1198</v>
      </c>
      <c r="I305" t="s">
        <v>1348</v>
      </c>
      <c r="J305">
        <v>1</v>
      </c>
      <c r="K305" t="s">
        <v>1673</v>
      </c>
      <c r="L305" t="s">
        <v>1727</v>
      </c>
      <c r="M305">
        <v>39589</v>
      </c>
      <c r="N305" t="s">
        <v>1751</v>
      </c>
      <c r="O305" t="s">
        <v>1756</v>
      </c>
      <c r="P305" t="s">
        <v>1750</v>
      </c>
      <c r="Q305">
        <f t="shared" si="4"/>
        <v>476.97590361445782</v>
      </c>
    </row>
    <row r="306" spans="1:17" x14ac:dyDescent="0.3">
      <c r="A306" t="s">
        <v>317</v>
      </c>
      <c r="B306" t="s">
        <v>767</v>
      </c>
      <c r="C306">
        <v>9</v>
      </c>
      <c r="D306" t="s">
        <v>892</v>
      </c>
      <c r="E306" t="s">
        <v>894</v>
      </c>
      <c r="F306" t="s">
        <v>901</v>
      </c>
      <c r="G306" t="s">
        <v>910</v>
      </c>
      <c r="H306" t="s">
        <v>1005</v>
      </c>
      <c r="I306" t="s">
        <v>1430</v>
      </c>
      <c r="J306">
        <v>2</v>
      </c>
      <c r="K306" t="s">
        <v>1638</v>
      </c>
      <c r="L306" t="s">
        <v>1745</v>
      </c>
      <c r="M306">
        <v>93828</v>
      </c>
      <c r="N306" t="s">
        <v>1751</v>
      </c>
      <c r="O306" t="s">
        <v>1754</v>
      </c>
      <c r="P306" t="s">
        <v>1751</v>
      </c>
      <c r="Q306">
        <f t="shared" si="4"/>
        <v>1130.4578313253012</v>
      </c>
    </row>
    <row r="307" spans="1:17" x14ac:dyDescent="0.3">
      <c r="A307" t="s">
        <v>318</v>
      </c>
      <c r="B307" t="s">
        <v>768</v>
      </c>
      <c r="C307">
        <v>71</v>
      </c>
      <c r="D307" t="s">
        <v>892</v>
      </c>
      <c r="E307" t="s">
        <v>897</v>
      </c>
      <c r="F307" t="s">
        <v>906</v>
      </c>
      <c r="G307" t="s">
        <v>910</v>
      </c>
      <c r="H307" t="s">
        <v>1199</v>
      </c>
      <c r="I307" t="s">
        <v>1317</v>
      </c>
      <c r="J307">
        <v>3</v>
      </c>
      <c r="K307" t="s">
        <v>1502</v>
      </c>
      <c r="L307" t="s">
        <v>1730</v>
      </c>
      <c r="M307">
        <v>62972</v>
      </c>
      <c r="N307" t="s">
        <v>1751</v>
      </c>
      <c r="O307" t="s">
        <v>1752</v>
      </c>
      <c r="P307" t="s">
        <v>1751</v>
      </c>
      <c r="Q307">
        <f t="shared" si="4"/>
        <v>758.69879518072287</v>
      </c>
    </row>
    <row r="308" spans="1:17" x14ac:dyDescent="0.3">
      <c r="A308" t="s">
        <v>319</v>
      </c>
      <c r="B308" t="s">
        <v>769</v>
      </c>
      <c r="C308">
        <v>52</v>
      </c>
      <c r="D308" t="s">
        <v>891</v>
      </c>
      <c r="E308" t="s">
        <v>898</v>
      </c>
      <c r="F308" t="s">
        <v>902</v>
      </c>
      <c r="G308" t="s">
        <v>925</v>
      </c>
      <c r="H308" t="s">
        <v>1200</v>
      </c>
      <c r="I308" t="s">
        <v>1377</v>
      </c>
      <c r="J308">
        <v>5</v>
      </c>
      <c r="K308" t="s">
        <v>1563</v>
      </c>
      <c r="L308" t="s">
        <v>1722</v>
      </c>
      <c r="M308">
        <v>229146</v>
      </c>
      <c r="N308" t="s">
        <v>1750</v>
      </c>
      <c r="O308" t="s">
        <v>1754</v>
      </c>
      <c r="P308" t="s">
        <v>1751</v>
      </c>
      <c r="Q308">
        <f t="shared" si="4"/>
        <v>2760.7951807228915</v>
      </c>
    </row>
    <row r="309" spans="1:17" x14ac:dyDescent="0.3">
      <c r="A309" t="s">
        <v>320</v>
      </c>
      <c r="B309" t="s">
        <v>770</v>
      </c>
      <c r="C309">
        <v>46</v>
      </c>
      <c r="D309" t="s">
        <v>891</v>
      </c>
      <c r="E309" t="s">
        <v>893</v>
      </c>
      <c r="F309" t="s">
        <v>905</v>
      </c>
      <c r="G309" t="s">
        <v>939</v>
      </c>
      <c r="H309" t="s">
        <v>1063</v>
      </c>
      <c r="I309" t="s">
        <v>1254</v>
      </c>
      <c r="J309">
        <v>9</v>
      </c>
      <c r="K309" t="s">
        <v>1667</v>
      </c>
      <c r="L309" t="s">
        <v>1740</v>
      </c>
      <c r="M309">
        <v>131508</v>
      </c>
      <c r="N309" t="s">
        <v>1750</v>
      </c>
      <c r="O309" t="s">
        <v>1753</v>
      </c>
      <c r="P309" t="s">
        <v>1751</v>
      </c>
      <c r="Q309">
        <f t="shared" si="4"/>
        <v>1584.433734939759</v>
      </c>
    </row>
    <row r="310" spans="1:17" x14ac:dyDescent="0.3">
      <c r="A310" t="s">
        <v>321</v>
      </c>
      <c r="B310" t="s">
        <v>771</v>
      </c>
      <c r="C310">
        <v>31</v>
      </c>
      <c r="D310" t="s">
        <v>892</v>
      </c>
      <c r="E310" t="s">
        <v>895</v>
      </c>
      <c r="F310" t="s">
        <v>907</v>
      </c>
      <c r="G310" t="s">
        <v>945</v>
      </c>
      <c r="H310" t="s">
        <v>1201</v>
      </c>
      <c r="I310" t="s">
        <v>1011</v>
      </c>
      <c r="J310">
        <v>37</v>
      </c>
      <c r="K310" t="s">
        <v>1674</v>
      </c>
      <c r="L310" t="s">
        <v>1749</v>
      </c>
      <c r="M310">
        <v>1499806</v>
      </c>
      <c r="N310" t="s">
        <v>1751</v>
      </c>
      <c r="O310" t="s">
        <v>1755</v>
      </c>
      <c r="P310" t="s">
        <v>1751</v>
      </c>
      <c r="Q310">
        <f t="shared" si="4"/>
        <v>18069.951807228917</v>
      </c>
    </row>
    <row r="311" spans="1:17" x14ac:dyDescent="0.3">
      <c r="A311" t="s">
        <v>322</v>
      </c>
      <c r="B311" t="s">
        <v>772</v>
      </c>
      <c r="C311">
        <v>14</v>
      </c>
      <c r="D311" t="s">
        <v>892</v>
      </c>
      <c r="E311" t="s">
        <v>893</v>
      </c>
      <c r="F311" t="s">
        <v>901</v>
      </c>
      <c r="G311" t="s">
        <v>910</v>
      </c>
      <c r="H311" t="s">
        <v>1202</v>
      </c>
      <c r="I311" t="s">
        <v>1112</v>
      </c>
      <c r="J311">
        <v>2</v>
      </c>
      <c r="K311" t="s">
        <v>1675</v>
      </c>
      <c r="L311" t="s">
        <v>1733</v>
      </c>
      <c r="M311">
        <v>19840</v>
      </c>
      <c r="N311" t="s">
        <v>1750</v>
      </c>
      <c r="O311" t="s">
        <v>1754</v>
      </c>
      <c r="P311" t="s">
        <v>1751</v>
      </c>
      <c r="Q311">
        <f t="shared" si="4"/>
        <v>239.03614457831324</v>
      </c>
    </row>
    <row r="312" spans="1:17" x14ac:dyDescent="0.3">
      <c r="A312" t="s">
        <v>323</v>
      </c>
      <c r="B312" t="s">
        <v>773</v>
      </c>
      <c r="C312">
        <v>38</v>
      </c>
      <c r="D312" t="s">
        <v>891</v>
      </c>
      <c r="E312" t="s">
        <v>895</v>
      </c>
      <c r="F312" t="s">
        <v>906</v>
      </c>
      <c r="G312" t="s">
        <v>943</v>
      </c>
      <c r="H312" t="s">
        <v>1203</v>
      </c>
      <c r="I312" t="s">
        <v>1431</v>
      </c>
      <c r="J312">
        <v>1</v>
      </c>
      <c r="K312" t="s">
        <v>1498</v>
      </c>
      <c r="L312" t="s">
        <v>1726</v>
      </c>
      <c r="M312">
        <v>6295</v>
      </c>
      <c r="N312" t="s">
        <v>1750</v>
      </c>
      <c r="O312" t="s">
        <v>1754</v>
      </c>
      <c r="P312" t="s">
        <v>1750</v>
      </c>
      <c r="Q312">
        <f t="shared" si="4"/>
        <v>75.843373493975903</v>
      </c>
    </row>
    <row r="313" spans="1:17" x14ac:dyDescent="0.3">
      <c r="A313" t="s">
        <v>324</v>
      </c>
      <c r="B313" t="s">
        <v>774</v>
      </c>
      <c r="C313">
        <v>27</v>
      </c>
      <c r="D313" t="s">
        <v>891</v>
      </c>
      <c r="E313" t="s">
        <v>893</v>
      </c>
      <c r="F313" t="s">
        <v>909</v>
      </c>
      <c r="G313" t="s">
        <v>922</v>
      </c>
      <c r="H313" t="s">
        <v>1204</v>
      </c>
      <c r="I313" t="s">
        <v>1372</v>
      </c>
      <c r="J313">
        <v>3</v>
      </c>
      <c r="K313" t="s">
        <v>1676</v>
      </c>
      <c r="L313" t="s">
        <v>1741</v>
      </c>
      <c r="M313">
        <v>118296</v>
      </c>
      <c r="N313" t="s">
        <v>1750</v>
      </c>
      <c r="O313" t="s">
        <v>1756</v>
      </c>
      <c r="P313" t="s">
        <v>1751</v>
      </c>
      <c r="Q313">
        <f t="shared" si="4"/>
        <v>1425.2530120481927</v>
      </c>
    </row>
    <row r="314" spans="1:17" x14ac:dyDescent="0.3">
      <c r="A314" t="s">
        <v>325</v>
      </c>
      <c r="B314" t="s">
        <v>775</v>
      </c>
      <c r="C314">
        <v>10</v>
      </c>
      <c r="D314" t="s">
        <v>892</v>
      </c>
      <c r="E314" t="s">
        <v>897</v>
      </c>
      <c r="F314" t="s">
        <v>901</v>
      </c>
      <c r="G314" t="s">
        <v>910</v>
      </c>
      <c r="H314" t="s">
        <v>1205</v>
      </c>
      <c r="I314" t="s">
        <v>980</v>
      </c>
      <c r="J314">
        <v>1</v>
      </c>
      <c r="K314" t="s">
        <v>1638</v>
      </c>
      <c r="L314" t="s">
        <v>1745</v>
      </c>
      <c r="M314">
        <v>19493</v>
      </c>
      <c r="N314" t="s">
        <v>1750</v>
      </c>
      <c r="O314" t="s">
        <v>1756</v>
      </c>
      <c r="P314" t="s">
        <v>1751</v>
      </c>
      <c r="Q314">
        <f t="shared" si="4"/>
        <v>234.85542168674698</v>
      </c>
    </row>
    <row r="315" spans="1:17" x14ac:dyDescent="0.3">
      <c r="A315" t="s">
        <v>326</v>
      </c>
      <c r="B315" t="s">
        <v>776</v>
      </c>
      <c r="C315">
        <v>23</v>
      </c>
      <c r="D315" t="s">
        <v>891</v>
      </c>
      <c r="E315" t="s">
        <v>897</v>
      </c>
      <c r="F315" t="s">
        <v>909</v>
      </c>
      <c r="G315" t="s">
        <v>932</v>
      </c>
      <c r="H315" t="s">
        <v>962</v>
      </c>
      <c r="I315" t="s">
        <v>1432</v>
      </c>
      <c r="J315">
        <v>1</v>
      </c>
      <c r="K315" t="s">
        <v>1676</v>
      </c>
      <c r="L315" t="s">
        <v>1738</v>
      </c>
      <c r="M315">
        <v>29993</v>
      </c>
      <c r="N315" t="s">
        <v>1751</v>
      </c>
      <c r="O315" t="s">
        <v>1754</v>
      </c>
      <c r="P315" t="s">
        <v>1751</v>
      </c>
      <c r="Q315">
        <f t="shared" si="4"/>
        <v>361.36144578313252</v>
      </c>
    </row>
    <row r="316" spans="1:17" x14ac:dyDescent="0.3">
      <c r="A316" t="s">
        <v>327</v>
      </c>
      <c r="B316" t="s">
        <v>777</v>
      </c>
      <c r="C316">
        <v>62</v>
      </c>
      <c r="D316" t="s">
        <v>892</v>
      </c>
      <c r="E316" t="s">
        <v>893</v>
      </c>
      <c r="F316" t="s">
        <v>907</v>
      </c>
      <c r="G316" t="s">
        <v>945</v>
      </c>
      <c r="H316" t="s">
        <v>1206</v>
      </c>
      <c r="I316" t="s">
        <v>1433</v>
      </c>
      <c r="J316">
        <v>1</v>
      </c>
      <c r="K316" t="s">
        <v>1677</v>
      </c>
      <c r="L316" t="s">
        <v>1743</v>
      </c>
      <c r="M316">
        <v>42158</v>
      </c>
      <c r="N316" t="s">
        <v>1750</v>
      </c>
      <c r="O316" t="s">
        <v>1756</v>
      </c>
      <c r="P316" t="s">
        <v>1750</v>
      </c>
      <c r="Q316">
        <f t="shared" si="4"/>
        <v>507.92771084337352</v>
      </c>
    </row>
    <row r="317" spans="1:17" x14ac:dyDescent="0.3">
      <c r="A317" t="s">
        <v>328</v>
      </c>
      <c r="B317" t="s">
        <v>778</v>
      </c>
      <c r="C317">
        <v>6</v>
      </c>
      <c r="D317" t="s">
        <v>891</v>
      </c>
      <c r="E317" t="s">
        <v>895</v>
      </c>
      <c r="F317" t="s">
        <v>901</v>
      </c>
      <c r="G317" t="s">
        <v>948</v>
      </c>
      <c r="H317" t="s">
        <v>1026</v>
      </c>
      <c r="I317" t="s">
        <v>1350</v>
      </c>
      <c r="J317">
        <v>1</v>
      </c>
      <c r="K317" t="s">
        <v>1603</v>
      </c>
      <c r="L317" t="s">
        <v>1721</v>
      </c>
      <c r="M317">
        <v>45054</v>
      </c>
      <c r="N317" t="s">
        <v>1751</v>
      </c>
      <c r="O317" t="s">
        <v>1752</v>
      </c>
      <c r="P317" t="s">
        <v>1751</v>
      </c>
      <c r="Q317">
        <f t="shared" si="4"/>
        <v>542.81927710843377</v>
      </c>
    </row>
    <row r="318" spans="1:17" x14ac:dyDescent="0.3">
      <c r="A318" t="s">
        <v>329</v>
      </c>
      <c r="B318" t="s">
        <v>779</v>
      </c>
      <c r="C318">
        <v>39</v>
      </c>
      <c r="D318" t="s">
        <v>891</v>
      </c>
      <c r="E318" t="s">
        <v>897</v>
      </c>
      <c r="F318" t="s">
        <v>907</v>
      </c>
      <c r="G318" t="s">
        <v>931</v>
      </c>
      <c r="H318" t="s">
        <v>1207</v>
      </c>
      <c r="I318" t="s">
        <v>1434</v>
      </c>
      <c r="J318">
        <v>32</v>
      </c>
      <c r="K318" t="s">
        <v>1598</v>
      </c>
      <c r="L318" t="s">
        <v>1749</v>
      </c>
      <c r="M318">
        <v>678630</v>
      </c>
      <c r="N318" t="s">
        <v>1750</v>
      </c>
      <c r="O318" t="s">
        <v>1754</v>
      </c>
      <c r="P318" t="s">
        <v>1751</v>
      </c>
      <c r="Q318">
        <f t="shared" si="4"/>
        <v>8176.265060240964</v>
      </c>
    </row>
    <row r="319" spans="1:17" x14ac:dyDescent="0.3">
      <c r="A319" t="s">
        <v>330</v>
      </c>
      <c r="B319" t="s">
        <v>771</v>
      </c>
      <c r="C319">
        <v>72</v>
      </c>
      <c r="D319" t="s">
        <v>892</v>
      </c>
      <c r="E319" t="s">
        <v>897</v>
      </c>
      <c r="F319" t="s">
        <v>907</v>
      </c>
      <c r="G319" t="s">
        <v>931</v>
      </c>
      <c r="H319" t="s">
        <v>1122</v>
      </c>
      <c r="I319" t="s">
        <v>1371</v>
      </c>
      <c r="J319">
        <v>18</v>
      </c>
      <c r="K319" t="s">
        <v>1678</v>
      </c>
      <c r="L319" t="s">
        <v>1727</v>
      </c>
      <c r="M319">
        <v>749322</v>
      </c>
      <c r="N319" t="s">
        <v>1751</v>
      </c>
      <c r="O319" t="s">
        <v>1754</v>
      </c>
      <c r="P319" t="s">
        <v>1751</v>
      </c>
      <c r="Q319">
        <f t="shared" si="4"/>
        <v>9027.9759036144587</v>
      </c>
    </row>
    <row r="320" spans="1:17" x14ac:dyDescent="0.3">
      <c r="A320" t="s">
        <v>331</v>
      </c>
      <c r="B320" t="s">
        <v>780</v>
      </c>
      <c r="C320">
        <v>56</v>
      </c>
      <c r="D320" t="s">
        <v>891</v>
      </c>
      <c r="E320" t="s">
        <v>894</v>
      </c>
      <c r="F320" t="s">
        <v>905</v>
      </c>
      <c r="G320" t="s">
        <v>933</v>
      </c>
      <c r="H320" t="s">
        <v>1164</v>
      </c>
      <c r="I320" t="s">
        <v>1435</v>
      </c>
      <c r="J320">
        <v>8</v>
      </c>
      <c r="K320" t="s">
        <v>1679</v>
      </c>
      <c r="L320" t="s">
        <v>1740</v>
      </c>
      <c r="M320">
        <v>130054</v>
      </c>
      <c r="N320" t="s">
        <v>1751</v>
      </c>
      <c r="O320" t="s">
        <v>1755</v>
      </c>
      <c r="P320" t="s">
        <v>1751</v>
      </c>
      <c r="Q320">
        <f t="shared" si="4"/>
        <v>1566.9156626506024</v>
      </c>
    </row>
    <row r="321" spans="1:17" x14ac:dyDescent="0.3">
      <c r="A321" t="s">
        <v>332</v>
      </c>
      <c r="B321" t="s">
        <v>781</v>
      </c>
      <c r="C321">
        <v>68</v>
      </c>
      <c r="D321" t="s">
        <v>891</v>
      </c>
      <c r="E321" t="s">
        <v>893</v>
      </c>
      <c r="F321" t="s">
        <v>906</v>
      </c>
      <c r="G321" t="s">
        <v>915</v>
      </c>
      <c r="H321" t="s">
        <v>1208</v>
      </c>
      <c r="I321" t="s">
        <v>1209</v>
      </c>
      <c r="J321">
        <v>2</v>
      </c>
      <c r="K321" t="s">
        <v>1503</v>
      </c>
      <c r="L321" t="s">
        <v>1726</v>
      </c>
      <c r="M321">
        <v>78484</v>
      </c>
      <c r="N321" t="s">
        <v>1750</v>
      </c>
      <c r="O321" t="s">
        <v>1753</v>
      </c>
      <c r="P321" t="s">
        <v>1751</v>
      </c>
      <c r="Q321">
        <f t="shared" si="4"/>
        <v>945.59036144578317</v>
      </c>
    </row>
    <row r="322" spans="1:17" x14ac:dyDescent="0.3">
      <c r="A322" t="s">
        <v>333</v>
      </c>
      <c r="B322" t="s">
        <v>645</v>
      </c>
      <c r="C322">
        <v>60</v>
      </c>
      <c r="D322" t="s">
        <v>891</v>
      </c>
      <c r="E322" t="s">
        <v>894</v>
      </c>
      <c r="F322" t="s">
        <v>902</v>
      </c>
      <c r="G322" t="s">
        <v>911</v>
      </c>
      <c r="H322" t="s">
        <v>1209</v>
      </c>
      <c r="I322" t="s">
        <v>1436</v>
      </c>
      <c r="J322">
        <v>1</v>
      </c>
      <c r="K322" t="s">
        <v>1680</v>
      </c>
      <c r="L322" t="s">
        <v>1744</v>
      </c>
      <c r="M322">
        <v>25974</v>
      </c>
      <c r="N322" t="s">
        <v>1750</v>
      </c>
      <c r="O322" t="s">
        <v>1753</v>
      </c>
      <c r="P322" t="s">
        <v>1750</v>
      </c>
      <c r="Q322">
        <f t="shared" si="4"/>
        <v>312.93975903614455</v>
      </c>
    </row>
    <row r="323" spans="1:17" x14ac:dyDescent="0.3">
      <c r="A323" t="s">
        <v>334</v>
      </c>
      <c r="B323" t="s">
        <v>587</v>
      </c>
      <c r="C323">
        <v>6</v>
      </c>
      <c r="D323" t="s">
        <v>891</v>
      </c>
      <c r="E323" t="s">
        <v>895</v>
      </c>
      <c r="F323" t="s">
        <v>901</v>
      </c>
      <c r="G323" t="s">
        <v>924</v>
      </c>
      <c r="H323" t="s">
        <v>1210</v>
      </c>
      <c r="I323" t="s">
        <v>1437</v>
      </c>
      <c r="J323">
        <v>1</v>
      </c>
      <c r="K323" t="s">
        <v>1509</v>
      </c>
      <c r="L323" t="s">
        <v>1733</v>
      </c>
      <c r="M323">
        <v>35982</v>
      </c>
      <c r="N323" t="s">
        <v>1751</v>
      </c>
      <c r="O323" t="s">
        <v>1754</v>
      </c>
      <c r="P323" t="s">
        <v>1751</v>
      </c>
      <c r="Q323">
        <f t="shared" si="4"/>
        <v>433.51807228915663</v>
      </c>
    </row>
    <row r="324" spans="1:17" x14ac:dyDescent="0.3">
      <c r="A324" t="s">
        <v>335</v>
      </c>
      <c r="B324" t="s">
        <v>782</v>
      </c>
      <c r="C324">
        <v>30</v>
      </c>
      <c r="D324" t="s">
        <v>892</v>
      </c>
      <c r="E324" t="s">
        <v>900</v>
      </c>
      <c r="F324" t="s">
        <v>903</v>
      </c>
      <c r="G324" t="s">
        <v>930</v>
      </c>
      <c r="H324" t="s">
        <v>1154</v>
      </c>
      <c r="I324" t="s">
        <v>1408</v>
      </c>
      <c r="J324">
        <v>1</v>
      </c>
      <c r="K324" t="s">
        <v>1620</v>
      </c>
      <c r="L324" t="s">
        <v>1748</v>
      </c>
      <c r="M324">
        <v>22774</v>
      </c>
      <c r="N324" t="s">
        <v>1750</v>
      </c>
      <c r="O324" t="s">
        <v>1753</v>
      </c>
      <c r="P324" t="s">
        <v>1751</v>
      </c>
      <c r="Q324">
        <f t="shared" si="4"/>
        <v>274.3855421686747</v>
      </c>
    </row>
    <row r="325" spans="1:17" x14ac:dyDescent="0.3">
      <c r="A325" t="s">
        <v>336</v>
      </c>
      <c r="B325" t="s">
        <v>561</v>
      </c>
      <c r="C325">
        <v>80</v>
      </c>
      <c r="D325" t="s">
        <v>891</v>
      </c>
      <c r="E325" t="s">
        <v>897</v>
      </c>
      <c r="F325" t="s">
        <v>905</v>
      </c>
      <c r="G325" t="s">
        <v>929</v>
      </c>
      <c r="H325" t="s">
        <v>1080</v>
      </c>
      <c r="I325" t="s">
        <v>1275</v>
      </c>
      <c r="J325">
        <v>5</v>
      </c>
      <c r="K325" t="s">
        <v>1570</v>
      </c>
      <c r="L325" t="s">
        <v>1725</v>
      </c>
      <c r="M325">
        <v>143978</v>
      </c>
      <c r="N325" t="s">
        <v>1751</v>
      </c>
      <c r="O325" t="s">
        <v>1754</v>
      </c>
      <c r="P325" t="s">
        <v>1751</v>
      </c>
      <c r="Q325">
        <f t="shared" ref="Q325:Q388" si="5">M325/83</f>
        <v>1734.6746987951808</v>
      </c>
    </row>
    <row r="326" spans="1:17" x14ac:dyDescent="0.3">
      <c r="A326" t="s">
        <v>337</v>
      </c>
      <c r="B326" t="s">
        <v>735</v>
      </c>
      <c r="C326">
        <v>77</v>
      </c>
      <c r="D326" t="s">
        <v>892</v>
      </c>
      <c r="E326" t="s">
        <v>897</v>
      </c>
      <c r="F326" t="s">
        <v>902</v>
      </c>
      <c r="G326" t="s">
        <v>923</v>
      </c>
      <c r="H326" t="s">
        <v>1143</v>
      </c>
      <c r="I326" t="s">
        <v>1438</v>
      </c>
      <c r="J326">
        <v>6</v>
      </c>
      <c r="K326" t="s">
        <v>1681</v>
      </c>
      <c r="L326" t="s">
        <v>1722</v>
      </c>
      <c r="M326">
        <v>147034</v>
      </c>
      <c r="N326" t="s">
        <v>1751</v>
      </c>
      <c r="O326" t="s">
        <v>1754</v>
      </c>
      <c r="P326" t="s">
        <v>1751</v>
      </c>
      <c r="Q326">
        <f t="shared" si="5"/>
        <v>1771.4939759036145</v>
      </c>
    </row>
    <row r="327" spans="1:17" x14ac:dyDescent="0.3">
      <c r="A327" t="s">
        <v>338</v>
      </c>
      <c r="B327" t="s">
        <v>783</v>
      </c>
      <c r="C327">
        <v>67</v>
      </c>
      <c r="D327" t="s">
        <v>892</v>
      </c>
      <c r="E327" t="s">
        <v>893</v>
      </c>
      <c r="F327" t="s">
        <v>907</v>
      </c>
      <c r="G327" t="s">
        <v>952</v>
      </c>
      <c r="H327" t="s">
        <v>1211</v>
      </c>
      <c r="I327" t="s">
        <v>1439</v>
      </c>
      <c r="J327">
        <v>10</v>
      </c>
      <c r="K327" t="s">
        <v>1634</v>
      </c>
      <c r="L327" t="s">
        <v>1727</v>
      </c>
      <c r="M327">
        <v>398047</v>
      </c>
      <c r="N327" t="s">
        <v>1750</v>
      </c>
      <c r="O327" t="s">
        <v>1753</v>
      </c>
      <c r="P327" t="s">
        <v>1751</v>
      </c>
      <c r="Q327">
        <f t="shared" si="5"/>
        <v>4795.7469879518076</v>
      </c>
    </row>
    <row r="328" spans="1:17" x14ac:dyDescent="0.3">
      <c r="A328" t="s">
        <v>339</v>
      </c>
      <c r="B328" t="s">
        <v>784</v>
      </c>
      <c r="C328">
        <v>21</v>
      </c>
      <c r="D328" t="s">
        <v>891</v>
      </c>
      <c r="E328" t="s">
        <v>897</v>
      </c>
      <c r="F328" t="s">
        <v>905</v>
      </c>
      <c r="G328" t="s">
        <v>918</v>
      </c>
      <c r="H328" t="s">
        <v>1061</v>
      </c>
      <c r="I328" t="s">
        <v>973</v>
      </c>
      <c r="J328">
        <v>2</v>
      </c>
      <c r="K328" t="s">
        <v>1596</v>
      </c>
      <c r="L328" t="s">
        <v>1740</v>
      </c>
      <c r="M328">
        <v>69040</v>
      </c>
      <c r="N328" t="s">
        <v>1750</v>
      </c>
      <c r="O328" t="s">
        <v>1754</v>
      </c>
      <c r="P328" t="s">
        <v>1751</v>
      </c>
      <c r="Q328">
        <f t="shared" si="5"/>
        <v>831.80722891566268</v>
      </c>
    </row>
    <row r="329" spans="1:17" x14ac:dyDescent="0.3">
      <c r="A329" t="s">
        <v>340</v>
      </c>
      <c r="B329" t="s">
        <v>538</v>
      </c>
      <c r="C329">
        <v>41</v>
      </c>
      <c r="D329" t="s">
        <v>892</v>
      </c>
      <c r="E329" t="s">
        <v>897</v>
      </c>
      <c r="F329" t="s">
        <v>904</v>
      </c>
      <c r="G329" t="s">
        <v>946</v>
      </c>
      <c r="H329" t="s">
        <v>1212</v>
      </c>
      <c r="I329" t="s">
        <v>1440</v>
      </c>
      <c r="J329">
        <v>9</v>
      </c>
      <c r="K329" t="s">
        <v>1682</v>
      </c>
      <c r="L329" t="s">
        <v>1724</v>
      </c>
      <c r="M329">
        <v>440454</v>
      </c>
      <c r="N329" t="s">
        <v>1750</v>
      </c>
      <c r="O329" t="s">
        <v>1754</v>
      </c>
      <c r="P329" t="s">
        <v>1751</v>
      </c>
      <c r="Q329">
        <f t="shared" si="5"/>
        <v>5306.674698795181</v>
      </c>
    </row>
    <row r="330" spans="1:17" x14ac:dyDescent="0.3">
      <c r="A330" t="s">
        <v>341</v>
      </c>
      <c r="B330" t="s">
        <v>521</v>
      </c>
      <c r="C330">
        <v>38</v>
      </c>
      <c r="D330" t="s">
        <v>891</v>
      </c>
      <c r="E330" t="s">
        <v>897</v>
      </c>
      <c r="F330" t="s">
        <v>906</v>
      </c>
      <c r="G330" t="s">
        <v>915</v>
      </c>
      <c r="H330" t="s">
        <v>1112</v>
      </c>
      <c r="I330" t="s">
        <v>1439</v>
      </c>
      <c r="J330">
        <v>6</v>
      </c>
      <c r="K330" t="s">
        <v>1683</v>
      </c>
      <c r="L330" t="s">
        <v>1739</v>
      </c>
      <c r="M330">
        <v>213988</v>
      </c>
      <c r="N330" t="s">
        <v>1751</v>
      </c>
      <c r="O330" t="s">
        <v>1754</v>
      </c>
      <c r="P330" t="s">
        <v>1751</v>
      </c>
      <c r="Q330">
        <f t="shared" si="5"/>
        <v>2578.1686746987953</v>
      </c>
    </row>
    <row r="331" spans="1:17" x14ac:dyDescent="0.3">
      <c r="A331" t="s">
        <v>342</v>
      </c>
      <c r="B331" t="s">
        <v>573</v>
      </c>
      <c r="C331">
        <v>51</v>
      </c>
      <c r="D331" t="s">
        <v>892</v>
      </c>
      <c r="E331" t="s">
        <v>897</v>
      </c>
      <c r="F331" t="s">
        <v>909</v>
      </c>
      <c r="G331" t="s">
        <v>932</v>
      </c>
      <c r="H331" t="s">
        <v>1213</v>
      </c>
      <c r="I331" t="s">
        <v>1166</v>
      </c>
      <c r="J331">
        <v>1</v>
      </c>
      <c r="K331" t="s">
        <v>1506</v>
      </c>
      <c r="L331" t="s">
        <v>1731</v>
      </c>
      <c r="M331">
        <v>7805</v>
      </c>
      <c r="N331" t="s">
        <v>1751</v>
      </c>
      <c r="O331" t="s">
        <v>1756</v>
      </c>
      <c r="P331" t="s">
        <v>1751</v>
      </c>
      <c r="Q331">
        <f t="shared" si="5"/>
        <v>94.036144578313255</v>
      </c>
    </row>
    <row r="332" spans="1:17" x14ac:dyDescent="0.3">
      <c r="A332" t="s">
        <v>343</v>
      </c>
      <c r="B332" t="s">
        <v>579</v>
      </c>
      <c r="C332">
        <v>73</v>
      </c>
      <c r="D332" t="s">
        <v>892</v>
      </c>
      <c r="E332" t="s">
        <v>897</v>
      </c>
      <c r="F332" t="s">
        <v>902</v>
      </c>
      <c r="G332" t="s">
        <v>923</v>
      </c>
      <c r="H332" t="s">
        <v>1214</v>
      </c>
      <c r="I332" t="s">
        <v>1441</v>
      </c>
      <c r="J332">
        <v>4</v>
      </c>
      <c r="K332" t="s">
        <v>1684</v>
      </c>
      <c r="L332" t="s">
        <v>1722</v>
      </c>
      <c r="M332">
        <v>215084</v>
      </c>
      <c r="N332" t="s">
        <v>1751</v>
      </c>
      <c r="O332" t="s">
        <v>1756</v>
      </c>
      <c r="P332" t="s">
        <v>1751</v>
      </c>
      <c r="Q332">
        <f t="shared" si="5"/>
        <v>2591.3734939759038</v>
      </c>
    </row>
    <row r="333" spans="1:17" x14ac:dyDescent="0.3">
      <c r="A333" t="s">
        <v>344</v>
      </c>
      <c r="B333" t="s">
        <v>785</v>
      </c>
      <c r="C333">
        <v>66</v>
      </c>
      <c r="D333" t="s">
        <v>892</v>
      </c>
      <c r="E333" t="s">
        <v>897</v>
      </c>
      <c r="F333" t="s">
        <v>905</v>
      </c>
      <c r="G333" t="s">
        <v>939</v>
      </c>
      <c r="H333" t="s">
        <v>1215</v>
      </c>
      <c r="I333" t="s">
        <v>1088</v>
      </c>
      <c r="J333">
        <v>3</v>
      </c>
      <c r="K333" t="s">
        <v>1625</v>
      </c>
      <c r="L333" t="s">
        <v>1725</v>
      </c>
      <c r="M333">
        <v>62738</v>
      </c>
      <c r="N333" t="s">
        <v>1750</v>
      </c>
      <c r="O333" t="s">
        <v>1753</v>
      </c>
      <c r="P333" t="s">
        <v>1751</v>
      </c>
      <c r="Q333">
        <f t="shared" si="5"/>
        <v>755.8795180722891</v>
      </c>
    </row>
    <row r="334" spans="1:17" x14ac:dyDescent="0.3">
      <c r="A334" t="s">
        <v>345</v>
      </c>
      <c r="B334" t="s">
        <v>641</v>
      </c>
      <c r="C334">
        <v>27</v>
      </c>
      <c r="D334" t="s">
        <v>891</v>
      </c>
      <c r="E334" t="s">
        <v>894</v>
      </c>
      <c r="F334" t="s">
        <v>909</v>
      </c>
      <c r="G334" t="s">
        <v>932</v>
      </c>
      <c r="H334" t="s">
        <v>1010</v>
      </c>
      <c r="I334" t="s">
        <v>1076</v>
      </c>
      <c r="J334">
        <v>1</v>
      </c>
      <c r="K334" t="s">
        <v>1577</v>
      </c>
      <c r="L334" t="s">
        <v>1738</v>
      </c>
      <c r="M334">
        <v>18861</v>
      </c>
      <c r="N334" t="s">
        <v>1750</v>
      </c>
      <c r="O334" t="s">
        <v>1754</v>
      </c>
      <c r="P334" t="s">
        <v>1751</v>
      </c>
      <c r="Q334">
        <f t="shared" si="5"/>
        <v>227.24096385542168</v>
      </c>
    </row>
    <row r="335" spans="1:17" x14ac:dyDescent="0.3">
      <c r="A335" t="s">
        <v>346</v>
      </c>
      <c r="B335" t="s">
        <v>565</v>
      </c>
      <c r="C335">
        <v>72</v>
      </c>
      <c r="D335" t="s">
        <v>891</v>
      </c>
      <c r="E335" t="s">
        <v>893</v>
      </c>
      <c r="F335" t="s">
        <v>907</v>
      </c>
      <c r="G335" t="s">
        <v>931</v>
      </c>
      <c r="H335" t="s">
        <v>1216</v>
      </c>
      <c r="I335" t="s">
        <v>1442</v>
      </c>
      <c r="J335">
        <v>4</v>
      </c>
      <c r="K335" t="s">
        <v>1674</v>
      </c>
      <c r="L335" t="s">
        <v>1727</v>
      </c>
      <c r="M335">
        <v>155897</v>
      </c>
      <c r="N335" t="s">
        <v>1750</v>
      </c>
      <c r="O335" t="s">
        <v>1752</v>
      </c>
      <c r="P335" t="s">
        <v>1750</v>
      </c>
      <c r="Q335">
        <f t="shared" si="5"/>
        <v>1878.2771084337348</v>
      </c>
    </row>
    <row r="336" spans="1:17" x14ac:dyDescent="0.3">
      <c r="A336" t="s">
        <v>347</v>
      </c>
      <c r="B336" t="s">
        <v>786</v>
      </c>
      <c r="C336">
        <v>37</v>
      </c>
      <c r="D336" t="s">
        <v>891</v>
      </c>
      <c r="E336" t="s">
        <v>894</v>
      </c>
      <c r="F336" t="s">
        <v>902</v>
      </c>
      <c r="G336" t="s">
        <v>911</v>
      </c>
      <c r="H336" t="s">
        <v>1217</v>
      </c>
      <c r="I336" t="s">
        <v>1016</v>
      </c>
      <c r="J336">
        <v>7</v>
      </c>
      <c r="K336" t="s">
        <v>1685</v>
      </c>
      <c r="L336" t="s">
        <v>1722</v>
      </c>
      <c r="M336">
        <v>259607</v>
      </c>
      <c r="N336" t="s">
        <v>1751</v>
      </c>
      <c r="O336" t="s">
        <v>1754</v>
      </c>
      <c r="P336" t="s">
        <v>1751</v>
      </c>
      <c r="Q336">
        <f t="shared" si="5"/>
        <v>3127.7951807228915</v>
      </c>
    </row>
    <row r="337" spans="1:17" x14ac:dyDescent="0.3">
      <c r="A337" t="s">
        <v>348</v>
      </c>
      <c r="B337" t="s">
        <v>787</v>
      </c>
      <c r="C337">
        <v>79</v>
      </c>
      <c r="D337" t="s">
        <v>892</v>
      </c>
      <c r="E337" t="s">
        <v>893</v>
      </c>
      <c r="F337" t="s">
        <v>909</v>
      </c>
      <c r="G337" t="s">
        <v>922</v>
      </c>
      <c r="H337" t="s">
        <v>1163</v>
      </c>
      <c r="I337" t="s">
        <v>1411</v>
      </c>
      <c r="J337">
        <v>1</v>
      </c>
      <c r="K337" t="s">
        <v>1506</v>
      </c>
      <c r="L337" t="s">
        <v>1732</v>
      </c>
      <c r="M337">
        <v>31920</v>
      </c>
      <c r="N337" t="s">
        <v>1750</v>
      </c>
      <c r="O337" t="s">
        <v>1756</v>
      </c>
      <c r="P337" t="s">
        <v>1751</v>
      </c>
      <c r="Q337">
        <f t="shared" si="5"/>
        <v>384.57831325301203</v>
      </c>
    </row>
    <row r="338" spans="1:17" x14ac:dyDescent="0.3">
      <c r="A338" t="s">
        <v>349</v>
      </c>
      <c r="B338" t="s">
        <v>553</v>
      </c>
      <c r="C338">
        <v>67</v>
      </c>
      <c r="D338" t="s">
        <v>892</v>
      </c>
      <c r="E338" t="s">
        <v>894</v>
      </c>
      <c r="F338" t="s">
        <v>905</v>
      </c>
      <c r="G338" t="s">
        <v>929</v>
      </c>
      <c r="H338" t="s">
        <v>1218</v>
      </c>
      <c r="I338" t="s">
        <v>1353</v>
      </c>
      <c r="J338">
        <v>1</v>
      </c>
      <c r="K338" t="s">
        <v>1626</v>
      </c>
      <c r="L338" t="s">
        <v>1725</v>
      </c>
      <c r="M338">
        <v>6334</v>
      </c>
      <c r="N338" t="s">
        <v>1750</v>
      </c>
      <c r="O338" t="s">
        <v>1756</v>
      </c>
      <c r="P338" t="s">
        <v>1751</v>
      </c>
      <c r="Q338">
        <f t="shared" si="5"/>
        <v>76.313253012048193</v>
      </c>
    </row>
    <row r="339" spans="1:17" x14ac:dyDescent="0.3">
      <c r="A339" t="s">
        <v>350</v>
      </c>
      <c r="B339" t="s">
        <v>717</v>
      </c>
      <c r="C339">
        <v>75</v>
      </c>
      <c r="D339" t="s">
        <v>891</v>
      </c>
      <c r="E339" t="s">
        <v>894</v>
      </c>
      <c r="F339" t="s">
        <v>902</v>
      </c>
      <c r="G339" t="s">
        <v>911</v>
      </c>
      <c r="H339" t="s">
        <v>1012</v>
      </c>
      <c r="I339" t="s">
        <v>1244</v>
      </c>
      <c r="J339">
        <v>1</v>
      </c>
      <c r="K339" t="s">
        <v>1510</v>
      </c>
      <c r="L339" t="s">
        <v>1744</v>
      </c>
      <c r="M339">
        <v>44571</v>
      </c>
      <c r="N339" t="s">
        <v>1750</v>
      </c>
      <c r="O339" t="s">
        <v>1756</v>
      </c>
      <c r="P339" t="s">
        <v>1751</v>
      </c>
      <c r="Q339">
        <f t="shared" si="5"/>
        <v>537</v>
      </c>
    </row>
    <row r="340" spans="1:17" x14ac:dyDescent="0.3">
      <c r="A340" t="s">
        <v>351</v>
      </c>
      <c r="B340" t="s">
        <v>715</v>
      </c>
      <c r="C340">
        <v>66</v>
      </c>
      <c r="D340" t="s">
        <v>892</v>
      </c>
      <c r="E340" t="s">
        <v>894</v>
      </c>
      <c r="F340" t="s">
        <v>907</v>
      </c>
      <c r="G340" t="s">
        <v>931</v>
      </c>
      <c r="H340" t="s">
        <v>1219</v>
      </c>
      <c r="I340" t="s">
        <v>1099</v>
      </c>
      <c r="J340">
        <v>1</v>
      </c>
      <c r="K340" t="s">
        <v>1598</v>
      </c>
      <c r="L340" t="s">
        <v>1743</v>
      </c>
      <c r="M340">
        <v>33277</v>
      </c>
      <c r="N340" t="s">
        <v>1751</v>
      </c>
      <c r="O340" t="s">
        <v>1752</v>
      </c>
      <c r="P340" t="s">
        <v>1751</v>
      </c>
      <c r="Q340">
        <f t="shared" si="5"/>
        <v>400.92771084337352</v>
      </c>
    </row>
    <row r="341" spans="1:17" x14ac:dyDescent="0.3">
      <c r="A341" t="s">
        <v>352</v>
      </c>
      <c r="B341" t="s">
        <v>709</v>
      </c>
      <c r="C341">
        <v>28</v>
      </c>
      <c r="D341" t="s">
        <v>891</v>
      </c>
      <c r="E341" t="s">
        <v>894</v>
      </c>
      <c r="F341" t="s">
        <v>903</v>
      </c>
      <c r="G341" t="s">
        <v>926</v>
      </c>
      <c r="H341" t="s">
        <v>1220</v>
      </c>
      <c r="I341" t="s">
        <v>1212</v>
      </c>
      <c r="J341">
        <v>7</v>
      </c>
      <c r="K341" t="s">
        <v>1661</v>
      </c>
      <c r="L341" t="s">
        <v>1723</v>
      </c>
      <c r="M341">
        <v>150967</v>
      </c>
      <c r="N341" t="s">
        <v>1750</v>
      </c>
      <c r="O341" t="s">
        <v>1754</v>
      </c>
      <c r="P341" t="s">
        <v>1750</v>
      </c>
      <c r="Q341">
        <f t="shared" si="5"/>
        <v>1818.8795180722891</v>
      </c>
    </row>
    <row r="342" spans="1:17" x14ac:dyDescent="0.3">
      <c r="A342" t="s">
        <v>353</v>
      </c>
      <c r="B342" t="s">
        <v>754</v>
      </c>
      <c r="C342">
        <v>66</v>
      </c>
      <c r="D342" t="s">
        <v>891</v>
      </c>
      <c r="E342" t="s">
        <v>893</v>
      </c>
      <c r="F342" t="s">
        <v>905</v>
      </c>
      <c r="G342" t="s">
        <v>939</v>
      </c>
      <c r="H342" t="s">
        <v>1034</v>
      </c>
      <c r="I342" t="s">
        <v>1425</v>
      </c>
      <c r="J342">
        <v>8</v>
      </c>
      <c r="K342" t="s">
        <v>1641</v>
      </c>
      <c r="L342" t="s">
        <v>1729</v>
      </c>
      <c r="M342">
        <v>251763</v>
      </c>
      <c r="N342" t="s">
        <v>1751</v>
      </c>
      <c r="O342" t="s">
        <v>1752</v>
      </c>
      <c r="P342" t="s">
        <v>1751</v>
      </c>
      <c r="Q342">
        <f t="shared" si="5"/>
        <v>3033.2891566265062</v>
      </c>
    </row>
    <row r="343" spans="1:17" x14ac:dyDescent="0.3">
      <c r="A343" t="s">
        <v>354</v>
      </c>
      <c r="B343" t="s">
        <v>788</v>
      </c>
      <c r="C343">
        <v>37</v>
      </c>
      <c r="D343" t="s">
        <v>892</v>
      </c>
      <c r="E343" t="s">
        <v>897</v>
      </c>
      <c r="F343" t="s">
        <v>904</v>
      </c>
      <c r="G343" t="s">
        <v>934</v>
      </c>
      <c r="H343" t="s">
        <v>1221</v>
      </c>
      <c r="I343" t="s">
        <v>977</v>
      </c>
      <c r="J343">
        <v>1</v>
      </c>
      <c r="K343" t="s">
        <v>1670</v>
      </c>
      <c r="L343" t="s">
        <v>1742</v>
      </c>
      <c r="M343">
        <v>43063</v>
      </c>
      <c r="N343" t="s">
        <v>1751</v>
      </c>
      <c r="O343" t="s">
        <v>1752</v>
      </c>
      <c r="P343" t="s">
        <v>1751</v>
      </c>
      <c r="Q343">
        <f t="shared" si="5"/>
        <v>518.83132530120486</v>
      </c>
    </row>
    <row r="344" spans="1:17" x14ac:dyDescent="0.3">
      <c r="A344" t="s">
        <v>355</v>
      </c>
      <c r="B344" t="s">
        <v>647</v>
      </c>
      <c r="C344">
        <v>57</v>
      </c>
      <c r="D344" t="s">
        <v>891</v>
      </c>
      <c r="E344" t="s">
        <v>897</v>
      </c>
      <c r="F344" t="s">
        <v>906</v>
      </c>
      <c r="G344" t="s">
        <v>910</v>
      </c>
      <c r="H344" t="s">
        <v>1222</v>
      </c>
      <c r="I344" t="s">
        <v>1443</v>
      </c>
      <c r="J344">
        <v>1</v>
      </c>
      <c r="K344" t="s">
        <v>1644</v>
      </c>
      <c r="L344" t="s">
        <v>1739</v>
      </c>
      <c r="M344">
        <v>26873</v>
      </c>
      <c r="N344" t="s">
        <v>1751</v>
      </c>
      <c r="O344" t="s">
        <v>1754</v>
      </c>
      <c r="P344" t="s">
        <v>1751</v>
      </c>
      <c r="Q344">
        <f t="shared" si="5"/>
        <v>323.77108433734941</v>
      </c>
    </row>
    <row r="345" spans="1:17" x14ac:dyDescent="0.3">
      <c r="A345" t="s">
        <v>356</v>
      </c>
      <c r="B345" t="s">
        <v>789</v>
      </c>
      <c r="C345">
        <v>24</v>
      </c>
      <c r="D345" t="s">
        <v>891</v>
      </c>
      <c r="E345" t="s">
        <v>897</v>
      </c>
      <c r="F345" t="s">
        <v>906</v>
      </c>
      <c r="G345" t="s">
        <v>910</v>
      </c>
      <c r="H345" t="s">
        <v>1200</v>
      </c>
      <c r="I345" t="s">
        <v>1257</v>
      </c>
      <c r="J345">
        <v>3</v>
      </c>
      <c r="K345" t="s">
        <v>1609</v>
      </c>
      <c r="L345" t="s">
        <v>1739</v>
      </c>
      <c r="M345">
        <v>118014</v>
      </c>
      <c r="N345" t="s">
        <v>1750</v>
      </c>
      <c r="O345" t="s">
        <v>1754</v>
      </c>
      <c r="P345" t="s">
        <v>1751</v>
      </c>
      <c r="Q345">
        <f t="shared" si="5"/>
        <v>1421.8554216867469</v>
      </c>
    </row>
    <row r="346" spans="1:17" x14ac:dyDescent="0.3">
      <c r="A346" t="s">
        <v>357</v>
      </c>
      <c r="B346" t="s">
        <v>602</v>
      </c>
      <c r="C346">
        <v>28</v>
      </c>
      <c r="D346" t="s">
        <v>892</v>
      </c>
      <c r="E346" t="s">
        <v>897</v>
      </c>
      <c r="F346" t="s">
        <v>903</v>
      </c>
      <c r="G346" t="s">
        <v>912</v>
      </c>
      <c r="H346" t="s">
        <v>1141</v>
      </c>
      <c r="I346" t="s">
        <v>1444</v>
      </c>
      <c r="J346">
        <v>2</v>
      </c>
      <c r="K346" t="s">
        <v>1516</v>
      </c>
      <c r="L346" t="s">
        <v>1748</v>
      </c>
      <c r="M346">
        <v>32687</v>
      </c>
      <c r="N346" t="s">
        <v>1751</v>
      </c>
      <c r="O346" t="s">
        <v>1752</v>
      </c>
      <c r="P346" t="s">
        <v>1751</v>
      </c>
      <c r="Q346">
        <f t="shared" si="5"/>
        <v>393.81927710843371</v>
      </c>
    </row>
    <row r="347" spans="1:17" x14ac:dyDescent="0.3">
      <c r="A347" t="s">
        <v>358</v>
      </c>
      <c r="B347" t="s">
        <v>717</v>
      </c>
      <c r="C347">
        <v>84</v>
      </c>
      <c r="D347" t="s">
        <v>891</v>
      </c>
      <c r="E347" t="s">
        <v>893</v>
      </c>
      <c r="F347" t="s">
        <v>909</v>
      </c>
      <c r="G347" t="s">
        <v>920</v>
      </c>
      <c r="H347" t="s">
        <v>1223</v>
      </c>
      <c r="I347" t="s">
        <v>1048</v>
      </c>
      <c r="J347">
        <v>1</v>
      </c>
      <c r="K347" t="s">
        <v>1686</v>
      </c>
      <c r="L347" t="s">
        <v>1738</v>
      </c>
      <c r="M347">
        <v>7202</v>
      </c>
      <c r="N347" t="s">
        <v>1751</v>
      </c>
      <c r="O347" t="s">
        <v>1756</v>
      </c>
      <c r="P347" t="s">
        <v>1751</v>
      </c>
      <c r="Q347">
        <f t="shared" si="5"/>
        <v>86.771084337349393</v>
      </c>
    </row>
    <row r="348" spans="1:17" x14ac:dyDescent="0.3">
      <c r="A348" t="s">
        <v>359</v>
      </c>
      <c r="B348" t="s">
        <v>790</v>
      </c>
      <c r="C348">
        <v>2</v>
      </c>
      <c r="D348" t="s">
        <v>891</v>
      </c>
      <c r="E348" t="s">
        <v>893</v>
      </c>
      <c r="F348" t="s">
        <v>901</v>
      </c>
      <c r="G348" t="s">
        <v>943</v>
      </c>
      <c r="H348" t="s">
        <v>1221</v>
      </c>
      <c r="I348" t="s">
        <v>977</v>
      </c>
      <c r="J348">
        <v>1</v>
      </c>
      <c r="K348" t="s">
        <v>1654</v>
      </c>
      <c r="L348" t="s">
        <v>1721</v>
      </c>
      <c r="M348">
        <v>24118</v>
      </c>
      <c r="N348" t="s">
        <v>1750</v>
      </c>
      <c r="O348" t="s">
        <v>1752</v>
      </c>
      <c r="P348" t="s">
        <v>1751</v>
      </c>
      <c r="Q348">
        <f t="shared" si="5"/>
        <v>290.57831325301203</v>
      </c>
    </row>
    <row r="349" spans="1:17" x14ac:dyDescent="0.3">
      <c r="A349" t="s">
        <v>360</v>
      </c>
      <c r="B349" t="s">
        <v>685</v>
      </c>
      <c r="C349">
        <v>62</v>
      </c>
      <c r="D349" t="s">
        <v>891</v>
      </c>
      <c r="E349" t="s">
        <v>897</v>
      </c>
      <c r="F349" t="s">
        <v>906</v>
      </c>
      <c r="G349" t="s">
        <v>943</v>
      </c>
      <c r="H349" t="s">
        <v>1224</v>
      </c>
      <c r="I349" t="s">
        <v>1445</v>
      </c>
      <c r="J349">
        <v>2</v>
      </c>
      <c r="K349" t="s">
        <v>1498</v>
      </c>
      <c r="L349" t="s">
        <v>1730</v>
      </c>
      <c r="M349">
        <v>35728</v>
      </c>
      <c r="N349" t="s">
        <v>1750</v>
      </c>
      <c r="O349" t="s">
        <v>1754</v>
      </c>
      <c r="P349" t="s">
        <v>1751</v>
      </c>
      <c r="Q349">
        <f t="shared" si="5"/>
        <v>430.45783132530119</v>
      </c>
    </row>
    <row r="350" spans="1:17" x14ac:dyDescent="0.3">
      <c r="A350" t="s">
        <v>361</v>
      </c>
      <c r="B350" t="s">
        <v>791</v>
      </c>
      <c r="C350">
        <v>35</v>
      </c>
      <c r="D350" t="s">
        <v>891</v>
      </c>
      <c r="E350" t="s">
        <v>899</v>
      </c>
      <c r="F350" t="s">
        <v>904</v>
      </c>
      <c r="G350" t="s">
        <v>934</v>
      </c>
      <c r="H350" t="s">
        <v>974</v>
      </c>
      <c r="I350" t="s">
        <v>1149</v>
      </c>
      <c r="J350">
        <v>2</v>
      </c>
      <c r="K350" t="s">
        <v>1559</v>
      </c>
      <c r="L350" t="s">
        <v>1747</v>
      </c>
      <c r="M350">
        <v>68090</v>
      </c>
      <c r="N350" t="s">
        <v>1750</v>
      </c>
      <c r="O350" t="s">
        <v>1754</v>
      </c>
      <c r="P350" t="s">
        <v>1751</v>
      </c>
      <c r="Q350">
        <f t="shared" si="5"/>
        <v>820.36144578313258</v>
      </c>
    </row>
    <row r="351" spans="1:17" x14ac:dyDescent="0.3">
      <c r="A351" t="s">
        <v>362</v>
      </c>
      <c r="B351" t="s">
        <v>792</v>
      </c>
      <c r="C351">
        <v>76</v>
      </c>
      <c r="D351" t="s">
        <v>892</v>
      </c>
      <c r="E351" t="s">
        <v>897</v>
      </c>
      <c r="F351" t="s">
        <v>909</v>
      </c>
      <c r="G351" t="s">
        <v>932</v>
      </c>
      <c r="H351" t="s">
        <v>1084</v>
      </c>
      <c r="I351" t="s">
        <v>1432</v>
      </c>
      <c r="J351">
        <v>2</v>
      </c>
      <c r="K351" t="s">
        <v>1606</v>
      </c>
      <c r="L351" t="s">
        <v>1741</v>
      </c>
      <c r="M351">
        <v>13584</v>
      </c>
      <c r="N351" t="s">
        <v>1750</v>
      </c>
      <c r="O351" t="s">
        <v>1753</v>
      </c>
      <c r="P351" t="s">
        <v>1750</v>
      </c>
      <c r="Q351">
        <f t="shared" si="5"/>
        <v>163.66265060240963</v>
      </c>
    </row>
    <row r="352" spans="1:17" x14ac:dyDescent="0.3">
      <c r="A352" t="s">
        <v>363</v>
      </c>
      <c r="B352" t="s">
        <v>793</v>
      </c>
      <c r="C352">
        <v>35</v>
      </c>
      <c r="D352" t="s">
        <v>891</v>
      </c>
      <c r="E352" t="s">
        <v>894</v>
      </c>
      <c r="F352" t="s">
        <v>904</v>
      </c>
      <c r="G352" t="s">
        <v>940</v>
      </c>
      <c r="H352" t="s">
        <v>1225</v>
      </c>
      <c r="I352" t="s">
        <v>1446</v>
      </c>
      <c r="J352">
        <v>1</v>
      </c>
      <c r="K352" t="s">
        <v>1538</v>
      </c>
      <c r="L352" t="s">
        <v>1724</v>
      </c>
      <c r="M352">
        <v>31345</v>
      </c>
      <c r="N352" t="s">
        <v>1750</v>
      </c>
      <c r="O352" t="s">
        <v>1754</v>
      </c>
      <c r="P352" t="s">
        <v>1751</v>
      </c>
      <c r="Q352">
        <f t="shared" si="5"/>
        <v>377.65060240963857</v>
      </c>
    </row>
    <row r="353" spans="1:17" x14ac:dyDescent="0.3">
      <c r="A353" t="s">
        <v>364</v>
      </c>
      <c r="B353" t="s">
        <v>672</v>
      </c>
      <c r="C353">
        <v>57</v>
      </c>
      <c r="D353" t="s">
        <v>892</v>
      </c>
      <c r="E353" t="s">
        <v>893</v>
      </c>
      <c r="F353" t="s">
        <v>908</v>
      </c>
      <c r="G353" t="s">
        <v>921</v>
      </c>
      <c r="H353" t="s">
        <v>1226</v>
      </c>
      <c r="I353" t="s">
        <v>1364</v>
      </c>
      <c r="J353">
        <v>2</v>
      </c>
      <c r="K353" t="s">
        <v>1639</v>
      </c>
      <c r="L353" t="s">
        <v>1735</v>
      </c>
      <c r="M353">
        <v>51943</v>
      </c>
      <c r="N353" t="s">
        <v>1751</v>
      </c>
      <c r="O353" t="s">
        <v>1754</v>
      </c>
      <c r="P353" t="s">
        <v>1751</v>
      </c>
      <c r="Q353">
        <f t="shared" si="5"/>
        <v>625.81927710843377</v>
      </c>
    </row>
    <row r="354" spans="1:17" x14ac:dyDescent="0.3">
      <c r="A354" t="s">
        <v>365</v>
      </c>
      <c r="B354" t="s">
        <v>794</v>
      </c>
      <c r="C354">
        <v>11</v>
      </c>
      <c r="D354" t="s">
        <v>891</v>
      </c>
      <c r="E354" t="s">
        <v>900</v>
      </c>
      <c r="F354" t="s">
        <v>901</v>
      </c>
      <c r="G354" t="s">
        <v>910</v>
      </c>
      <c r="H354" t="s">
        <v>1227</v>
      </c>
      <c r="I354" t="s">
        <v>975</v>
      </c>
      <c r="J354">
        <v>2</v>
      </c>
      <c r="K354" t="s">
        <v>1654</v>
      </c>
      <c r="L354" t="s">
        <v>1721</v>
      </c>
      <c r="M354">
        <v>22655</v>
      </c>
      <c r="N354" t="s">
        <v>1750</v>
      </c>
      <c r="O354" t="s">
        <v>1754</v>
      </c>
      <c r="P354" t="s">
        <v>1751</v>
      </c>
      <c r="Q354">
        <f t="shared" si="5"/>
        <v>272.95180722891564</v>
      </c>
    </row>
    <row r="355" spans="1:17" x14ac:dyDescent="0.3">
      <c r="A355" t="s">
        <v>366</v>
      </c>
      <c r="B355" t="s">
        <v>558</v>
      </c>
      <c r="C355">
        <v>81</v>
      </c>
      <c r="D355" t="s">
        <v>891</v>
      </c>
      <c r="E355" t="s">
        <v>893</v>
      </c>
      <c r="F355" t="s">
        <v>909</v>
      </c>
      <c r="G355" t="s">
        <v>950</v>
      </c>
      <c r="H355" t="s">
        <v>1020</v>
      </c>
      <c r="I355" t="s">
        <v>1364</v>
      </c>
      <c r="J355">
        <v>1</v>
      </c>
      <c r="K355" t="s">
        <v>1577</v>
      </c>
      <c r="L355" t="s">
        <v>1741</v>
      </c>
      <c r="M355">
        <v>37165</v>
      </c>
      <c r="N355" t="s">
        <v>1750</v>
      </c>
      <c r="O355" t="s">
        <v>1756</v>
      </c>
      <c r="P355" t="s">
        <v>1751</v>
      </c>
      <c r="Q355">
        <f t="shared" si="5"/>
        <v>447.77108433734941</v>
      </c>
    </row>
    <row r="356" spans="1:17" x14ac:dyDescent="0.3">
      <c r="A356" t="s">
        <v>367</v>
      </c>
      <c r="B356" t="s">
        <v>795</v>
      </c>
      <c r="C356">
        <v>19</v>
      </c>
      <c r="D356" t="s">
        <v>891</v>
      </c>
      <c r="E356" t="s">
        <v>893</v>
      </c>
      <c r="F356" t="s">
        <v>904</v>
      </c>
      <c r="G356" t="s">
        <v>937</v>
      </c>
      <c r="H356" t="s">
        <v>1056</v>
      </c>
      <c r="I356" t="s">
        <v>1060</v>
      </c>
      <c r="J356">
        <v>5</v>
      </c>
      <c r="K356" t="s">
        <v>1687</v>
      </c>
      <c r="L356" t="s">
        <v>1724</v>
      </c>
      <c r="M356">
        <v>213683</v>
      </c>
      <c r="N356" t="s">
        <v>1751</v>
      </c>
      <c r="O356" t="s">
        <v>1754</v>
      </c>
      <c r="P356" t="s">
        <v>1751</v>
      </c>
      <c r="Q356">
        <f t="shared" si="5"/>
        <v>2574.4939759036147</v>
      </c>
    </row>
    <row r="357" spans="1:17" x14ac:dyDescent="0.3">
      <c r="A357" t="s">
        <v>368</v>
      </c>
      <c r="B357" t="s">
        <v>796</v>
      </c>
      <c r="C357">
        <v>68</v>
      </c>
      <c r="D357" t="s">
        <v>892</v>
      </c>
      <c r="E357" t="s">
        <v>893</v>
      </c>
      <c r="F357" t="s">
        <v>902</v>
      </c>
      <c r="G357" t="s">
        <v>949</v>
      </c>
      <c r="H357" t="s">
        <v>1228</v>
      </c>
      <c r="I357" t="s">
        <v>1126</v>
      </c>
      <c r="J357">
        <v>5</v>
      </c>
      <c r="K357" t="s">
        <v>1607</v>
      </c>
      <c r="L357" t="s">
        <v>1746</v>
      </c>
      <c r="M357">
        <v>210636</v>
      </c>
      <c r="N357" t="s">
        <v>1751</v>
      </c>
      <c r="O357" t="s">
        <v>1754</v>
      </c>
      <c r="P357" t="s">
        <v>1751</v>
      </c>
      <c r="Q357">
        <f t="shared" si="5"/>
        <v>2537.7831325301204</v>
      </c>
    </row>
    <row r="358" spans="1:17" x14ac:dyDescent="0.3">
      <c r="A358" t="s">
        <v>369</v>
      </c>
      <c r="B358" t="s">
        <v>797</v>
      </c>
      <c r="C358">
        <v>61</v>
      </c>
      <c r="D358" t="s">
        <v>892</v>
      </c>
      <c r="E358" t="s">
        <v>893</v>
      </c>
      <c r="F358" t="s">
        <v>907</v>
      </c>
      <c r="G358" t="s">
        <v>938</v>
      </c>
      <c r="H358" t="s">
        <v>1145</v>
      </c>
      <c r="I358" t="s">
        <v>1177</v>
      </c>
      <c r="J358">
        <v>1</v>
      </c>
      <c r="K358" t="s">
        <v>1688</v>
      </c>
      <c r="L358" t="s">
        <v>1727</v>
      </c>
      <c r="M358">
        <v>47436</v>
      </c>
      <c r="N358" t="s">
        <v>1750</v>
      </c>
      <c r="O358" t="s">
        <v>1752</v>
      </c>
      <c r="P358" t="s">
        <v>1750</v>
      </c>
      <c r="Q358">
        <f t="shared" si="5"/>
        <v>571.51807228915663</v>
      </c>
    </row>
    <row r="359" spans="1:17" x14ac:dyDescent="0.3">
      <c r="A359" t="s">
        <v>370</v>
      </c>
      <c r="B359" t="s">
        <v>536</v>
      </c>
      <c r="C359">
        <v>73</v>
      </c>
      <c r="D359" t="s">
        <v>891</v>
      </c>
      <c r="E359" t="s">
        <v>893</v>
      </c>
      <c r="F359" t="s">
        <v>905</v>
      </c>
      <c r="G359" t="s">
        <v>933</v>
      </c>
      <c r="H359" t="s">
        <v>1229</v>
      </c>
      <c r="I359" t="s">
        <v>1447</v>
      </c>
      <c r="J359">
        <v>1</v>
      </c>
      <c r="K359" t="s">
        <v>1689</v>
      </c>
      <c r="L359" t="s">
        <v>1729</v>
      </c>
      <c r="M359">
        <v>11176</v>
      </c>
      <c r="N359" t="s">
        <v>1751</v>
      </c>
      <c r="O359" t="s">
        <v>1754</v>
      </c>
      <c r="P359" t="s">
        <v>1751</v>
      </c>
      <c r="Q359">
        <f t="shared" si="5"/>
        <v>134.65060240963857</v>
      </c>
    </row>
    <row r="360" spans="1:17" x14ac:dyDescent="0.3">
      <c r="A360" t="s">
        <v>371</v>
      </c>
      <c r="B360" t="s">
        <v>687</v>
      </c>
      <c r="C360">
        <v>58</v>
      </c>
      <c r="D360" t="s">
        <v>892</v>
      </c>
      <c r="E360" t="s">
        <v>894</v>
      </c>
      <c r="F360" t="s">
        <v>906</v>
      </c>
      <c r="G360" t="s">
        <v>927</v>
      </c>
      <c r="H360" t="s">
        <v>1230</v>
      </c>
      <c r="I360" t="s">
        <v>1448</v>
      </c>
      <c r="J360">
        <v>5</v>
      </c>
      <c r="K360" t="s">
        <v>1503</v>
      </c>
      <c r="L360" t="s">
        <v>1730</v>
      </c>
      <c r="M360">
        <v>95791</v>
      </c>
      <c r="N360" t="s">
        <v>1750</v>
      </c>
      <c r="O360" t="s">
        <v>1754</v>
      </c>
      <c r="P360" t="s">
        <v>1751</v>
      </c>
      <c r="Q360">
        <f t="shared" si="5"/>
        <v>1154.1084337349398</v>
      </c>
    </row>
    <row r="361" spans="1:17" x14ac:dyDescent="0.3">
      <c r="A361" t="s">
        <v>372</v>
      </c>
      <c r="B361" t="s">
        <v>798</v>
      </c>
      <c r="C361">
        <v>60</v>
      </c>
      <c r="D361" t="s">
        <v>891</v>
      </c>
      <c r="E361" t="s">
        <v>897</v>
      </c>
      <c r="F361" t="s">
        <v>909</v>
      </c>
      <c r="G361" t="s">
        <v>920</v>
      </c>
      <c r="H361" t="s">
        <v>1069</v>
      </c>
      <c r="I361" t="s">
        <v>1287</v>
      </c>
      <c r="J361">
        <v>1</v>
      </c>
      <c r="K361" t="s">
        <v>1568</v>
      </c>
      <c r="L361" t="s">
        <v>1732</v>
      </c>
      <c r="M361">
        <v>28613</v>
      </c>
      <c r="N361" t="s">
        <v>1750</v>
      </c>
      <c r="O361" t="s">
        <v>1753</v>
      </c>
      <c r="P361" t="s">
        <v>1751</v>
      </c>
      <c r="Q361">
        <f t="shared" si="5"/>
        <v>344.73493975903614</v>
      </c>
    </row>
    <row r="362" spans="1:17" x14ac:dyDescent="0.3">
      <c r="A362" t="s">
        <v>373</v>
      </c>
      <c r="B362" t="s">
        <v>799</v>
      </c>
      <c r="C362">
        <v>63</v>
      </c>
      <c r="D362" t="s">
        <v>892</v>
      </c>
      <c r="E362" t="s">
        <v>897</v>
      </c>
      <c r="F362" t="s">
        <v>906</v>
      </c>
      <c r="G362" t="s">
        <v>915</v>
      </c>
      <c r="H362" t="s">
        <v>1040</v>
      </c>
      <c r="I362" t="s">
        <v>1449</v>
      </c>
      <c r="J362">
        <v>4</v>
      </c>
      <c r="K362" t="s">
        <v>1690</v>
      </c>
      <c r="L362" t="s">
        <v>1739</v>
      </c>
      <c r="M362">
        <v>126234</v>
      </c>
      <c r="N362" t="s">
        <v>1751</v>
      </c>
      <c r="O362" t="s">
        <v>1755</v>
      </c>
      <c r="P362" t="s">
        <v>1751</v>
      </c>
      <c r="Q362">
        <f t="shared" si="5"/>
        <v>1520.8915662650602</v>
      </c>
    </row>
    <row r="363" spans="1:17" x14ac:dyDescent="0.3">
      <c r="A363" t="s">
        <v>374</v>
      </c>
      <c r="B363" t="s">
        <v>800</v>
      </c>
      <c r="C363">
        <v>70</v>
      </c>
      <c r="D363" t="s">
        <v>892</v>
      </c>
      <c r="E363" t="s">
        <v>898</v>
      </c>
      <c r="F363" t="s">
        <v>908</v>
      </c>
      <c r="G363" t="s">
        <v>928</v>
      </c>
      <c r="H363" t="s">
        <v>1165</v>
      </c>
      <c r="I363" t="s">
        <v>1019</v>
      </c>
      <c r="J363">
        <v>16</v>
      </c>
      <c r="K363" t="s">
        <v>1669</v>
      </c>
      <c r="L363" t="s">
        <v>1735</v>
      </c>
      <c r="M363">
        <v>259744</v>
      </c>
      <c r="N363" t="s">
        <v>1750</v>
      </c>
      <c r="O363" t="s">
        <v>1753</v>
      </c>
      <c r="P363" t="s">
        <v>1750</v>
      </c>
      <c r="Q363">
        <f t="shared" si="5"/>
        <v>3129.4457831325303</v>
      </c>
    </row>
    <row r="364" spans="1:17" x14ac:dyDescent="0.3">
      <c r="A364" t="s">
        <v>375</v>
      </c>
      <c r="B364" t="s">
        <v>801</v>
      </c>
      <c r="C364">
        <v>42</v>
      </c>
      <c r="D364" t="s">
        <v>892</v>
      </c>
      <c r="E364" t="s">
        <v>893</v>
      </c>
      <c r="F364" t="s">
        <v>904</v>
      </c>
      <c r="G364" t="s">
        <v>940</v>
      </c>
      <c r="H364" t="s">
        <v>1231</v>
      </c>
      <c r="I364" t="s">
        <v>1415</v>
      </c>
      <c r="J364">
        <v>2</v>
      </c>
      <c r="K364" t="s">
        <v>1691</v>
      </c>
      <c r="L364" t="s">
        <v>1742</v>
      </c>
      <c r="M364">
        <v>119238</v>
      </c>
      <c r="N364" t="s">
        <v>1750</v>
      </c>
      <c r="O364" t="s">
        <v>1755</v>
      </c>
      <c r="P364" t="s">
        <v>1751</v>
      </c>
      <c r="Q364">
        <f t="shared" si="5"/>
        <v>1436.6024096385543</v>
      </c>
    </row>
    <row r="365" spans="1:17" x14ac:dyDescent="0.3">
      <c r="A365" t="s">
        <v>376</v>
      </c>
      <c r="B365" t="s">
        <v>802</v>
      </c>
      <c r="C365">
        <v>39</v>
      </c>
      <c r="D365" t="s">
        <v>891</v>
      </c>
      <c r="E365" t="s">
        <v>893</v>
      </c>
      <c r="F365" t="s">
        <v>903</v>
      </c>
      <c r="G365" t="s">
        <v>930</v>
      </c>
      <c r="H365" t="s">
        <v>1167</v>
      </c>
      <c r="I365" t="s">
        <v>1072</v>
      </c>
      <c r="J365">
        <v>1</v>
      </c>
      <c r="K365" t="s">
        <v>1692</v>
      </c>
      <c r="L365" t="s">
        <v>1723</v>
      </c>
      <c r="M365">
        <v>6881</v>
      </c>
      <c r="N365" t="s">
        <v>1750</v>
      </c>
      <c r="O365" t="s">
        <v>1755</v>
      </c>
      <c r="P365" t="s">
        <v>1751</v>
      </c>
      <c r="Q365">
        <f t="shared" si="5"/>
        <v>82.903614457831324</v>
      </c>
    </row>
    <row r="366" spans="1:17" x14ac:dyDescent="0.3">
      <c r="A366" t="s">
        <v>377</v>
      </c>
      <c r="B366" t="s">
        <v>803</v>
      </c>
      <c r="C366">
        <v>37</v>
      </c>
      <c r="D366" t="s">
        <v>892</v>
      </c>
      <c r="E366" t="s">
        <v>893</v>
      </c>
      <c r="F366" t="s">
        <v>905</v>
      </c>
      <c r="G366" t="s">
        <v>933</v>
      </c>
      <c r="H366" t="s">
        <v>1052</v>
      </c>
      <c r="I366" t="s">
        <v>1028</v>
      </c>
      <c r="J366">
        <v>7</v>
      </c>
      <c r="K366" t="s">
        <v>1667</v>
      </c>
      <c r="L366" t="s">
        <v>1740</v>
      </c>
      <c r="M366">
        <v>121099</v>
      </c>
      <c r="N366" t="s">
        <v>1750</v>
      </c>
      <c r="O366" t="s">
        <v>1753</v>
      </c>
      <c r="P366" t="s">
        <v>1751</v>
      </c>
      <c r="Q366">
        <f t="shared" si="5"/>
        <v>1459.0240963855422</v>
      </c>
    </row>
    <row r="367" spans="1:17" x14ac:dyDescent="0.3">
      <c r="A367" t="s">
        <v>378</v>
      </c>
      <c r="B367" t="s">
        <v>755</v>
      </c>
      <c r="C367">
        <v>63</v>
      </c>
      <c r="D367" t="s">
        <v>891</v>
      </c>
      <c r="E367" t="s">
        <v>894</v>
      </c>
      <c r="F367" t="s">
        <v>907</v>
      </c>
      <c r="G367" t="s">
        <v>952</v>
      </c>
      <c r="H367" t="s">
        <v>1232</v>
      </c>
      <c r="I367" t="s">
        <v>1162</v>
      </c>
      <c r="J367">
        <v>6</v>
      </c>
      <c r="K367" t="s">
        <v>1581</v>
      </c>
      <c r="L367" t="s">
        <v>1727</v>
      </c>
      <c r="M367">
        <v>133693</v>
      </c>
      <c r="N367" t="s">
        <v>1750</v>
      </c>
      <c r="O367" t="s">
        <v>1754</v>
      </c>
      <c r="P367" t="s">
        <v>1751</v>
      </c>
      <c r="Q367">
        <f t="shared" si="5"/>
        <v>1610.7590361445782</v>
      </c>
    </row>
    <row r="368" spans="1:17" x14ac:dyDescent="0.3">
      <c r="A368" t="s">
        <v>379</v>
      </c>
      <c r="B368" t="s">
        <v>804</v>
      </c>
      <c r="C368">
        <v>85</v>
      </c>
      <c r="D368" t="s">
        <v>891</v>
      </c>
      <c r="E368" t="s">
        <v>897</v>
      </c>
      <c r="F368" t="s">
        <v>909</v>
      </c>
      <c r="G368" t="s">
        <v>922</v>
      </c>
      <c r="H368" t="s">
        <v>1233</v>
      </c>
      <c r="I368" t="s">
        <v>1097</v>
      </c>
      <c r="J368">
        <v>1</v>
      </c>
      <c r="K368" t="s">
        <v>1693</v>
      </c>
      <c r="L368" t="s">
        <v>1732</v>
      </c>
      <c r="M368">
        <v>25293</v>
      </c>
      <c r="N368" t="s">
        <v>1751</v>
      </c>
      <c r="O368" t="s">
        <v>1756</v>
      </c>
      <c r="P368" t="s">
        <v>1751</v>
      </c>
      <c r="Q368">
        <f t="shared" si="5"/>
        <v>304.73493975903614</v>
      </c>
    </row>
    <row r="369" spans="1:17" x14ac:dyDescent="0.3">
      <c r="A369" t="s">
        <v>380</v>
      </c>
      <c r="B369" t="s">
        <v>745</v>
      </c>
      <c r="C369">
        <v>30</v>
      </c>
      <c r="D369" t="s">
        <v>892</v>
      </c>
      <c r="E369" t="s">
        <v>897</v>
      </c>
      <c r="F369" t="s">
        <v>908</v>
      </c>
      <c r="G369" t="s">
        <v>928</v>
      </c>
      <c r="H369" t="s">
        <v>1160</v>
      </c>
      <c r="I369" t="s">
        <v>1450</v>
      </c>
      <c r="J369">
        <v>17</v>
      </c>
      <c r="K369" t="s">
        <v>1694</v>
      </c>
      <c r="L369" t="s">
        <v>1737</v>
      </c>
      <c r="M369">
        <v>595980</v>
      </c>
      <c r="N369" t="s">
        <v>1750</v>
      </c>
      <c r="O369" t="s">
        <v>1754</v>
      </c>
      <c r="P369" t="s">
        <v>1751</v>
      </c>
      <c r="Q369">
        <f t="shared" si="5"/>
        <v>7180.4819277108436</v>
      </c>
    </row>
    <row r="370" spans="1:17" x14ac:dyDescent="0.3">
      <c r="A370" t="s">
        <v>381</v>
      </c>
      <c r="B370" t="s">
        <v>805</v>
      </c>
      <c r="C370">
        <v>25</v>
      </c>
      <c r="D370" t="s">
        <v>892</v>
      </c>
      <c r="E370" t="s">
        <v>893</v>
      </c>
      <c r="F370" t="s">
        <v>904</v>
      </c>
      <c r="G370" t="s">
        <v>940</v>
      </c>
      <c r="H370" t="s">
        <v>1234</v>
      </c>
      <c r="I370" t="s">
        <v>1291</v>
      </c>
      <c r="J370">
        <v>1</v>
      </c>
      <c r="K370" t="s">
        <v>1556</v>
      </c>
      <c r="L370" t="s">
        <v>1724</v>
      </c>
      <c r="M370">
        <v>40982</v>
      </c>
      <c r="N370" t="s">
        <v>1750</v>
      </c>
      <c r="O370" t="s">
        <v>1756</v>
      </c>
      <c r="P370" t="s">
        <v>1751</v>
      </c>
      <c r="Q370">
        <f t="shared" si="5"/>
        <v>493.75903614457832</v>
      </c>
    </row>
    <row r="371" spans="1:17" x14ac:dyDescent="0.3">
      <c r="A371" t="s">
        <v>382</v>
      </c>
      <c r="B371" t="s">
        <v>763</v>
      </c>
      <c r="C371">
        <v>48</v>
      </c>
      <c r="D371" t="s">
        <v>892</v>
      </c>
      <c r="E371" t="s">
        <v>894</v>
      </c>
      <c r="F371" t="s">
        <v>903</v>
      </c>
      <c r="G371" t="s">
        <v>930</v>
      </c>
      <c r="H371" t="s">
        <v>1235</v>
      </c>
      <c r="I371" t="s">
        <v>1451</v>
      </c>
      <c r="J371">
        <v>12</v>
      </c>
      <c r="K371" t="s">
        <v>1608</v>
      </c>
      <c r="L371" t="s">
        <v>1734</v>
      </c>
      <c r="M371">
        <v>286125</v>
      </c>
      <c r="N371" t="s">
        <v>1751</v>
      </c>
      <c r="O371" t="s">
        <v>1753</v>
      </c>
      <c r="P371" t="s">
        <v>1751</v>
      </c>
      <c r="Q371">
        <f t="shared" si="5"/>
        <v>3447.2891566265062</v>
      </c>
    </row>
    <row r="372" spans="1:17" x14ac:dyDescent="0.3">
      <c r="A372" t="s">
        <v>383</v>
      </c>
      <c r="B372" t="s">
        <v>806</v>
      </c>
      <c r="C372">
        <v>55</v>
      </c>
      <c r="D372" t="s">
        <v>892</v>
      </c>
      <c r="E372" t="s">
        <v>893</v>
      </c>
      <c r="F372" t="s">
        <v>905</v>
      </c>
      <c r="G372" t="s">
        <v>929</v>
      </c>
      <c r="H372" t="s">
        <v>1188</v>
      </c>
      <c r="I372" t="s">
        <v>1015</v>
      </c>
      <c r="J372">
        <v>16</v>
      </c>
      <c r="K372" t="s">
        <v>1508</v>
      </c>
      <c r="L372" t="s">
        <v>1729</v>
      </c>
      <c r="M372">
        <v>461563</v>
      </c>
      <c r="N372" t="s">
        <v>1750</v>
      </c>
      <c r="O372" t="s">
        <v>1755</v>
      </c>
      <c r="P372" t="s">
        <v>1750</v>
      </c>
      <c r="Q372">
        <f t="shared" si="5"/>
        <v>5561</v>
      </c>
    </row>
    <row r="373" spans="1:17" x14ac:dyDescent="0.3">
      <c r="A373" t="s">
        <v>384</v>
      </c>
      <c r="B373" t="s">
        <v>807</v>
      </c>
      <c r="C373">
        <v>52</v>
      </c>
      <c r="D373" t="s">
        <v>891</v>
      </c>
      <c r="E373" t="s">
        <v>893</v>
      </c>
      <c r="F373" t="s">
        <v>908</v>
      </c>
      <c r="G373" t="s">
        <v>947</v>
      </c>
      <c r="H373" t="s">
        <v>1236</v>
      </c>
      <c r="I373" t="s">
        <v>1050</v>
      </c>
      <c r="J373">
        <v>1</v>
      </c>
      <c r="K373" t="s">
        <v>1500</v>
      </c>
      <c r="L373" t="s">
        <v>1735</v>
      </c>
      <c r="M373">
        <v>10716</v>
      </c>
      <c r="N373" t="s">
        <v>1750</v>
      </c>
      <c r="O373" t="s">
        <v>1754</v>
      </c>
      <c r="P373" t="s">
        <v>1750</v>
      </c>
      <c r="Q373">
        <f t="shared" si="5"/>
        <v>129.10843373493975</v>
      </c>
    </row>
    <row r="374" spans="1:17" x14ac:dyDescent="0.3">
      <c r="A374" t="s">
        <v>385</v>
      </c>
      <c r="B374" t="s">
        <v>643</v>
      </c>
      <c r="C374">
        <v>77</v>
      </c>
      <c r="D374" t="s">
        <v>892</v>
      </c>
      <c r="E374" t="s">
        <v>897</v>
      </c>
      <c r="F374" t="s">
        <v>907</v>
      </c>
      <c r="G374" t="s">
        <v>916</v>
      </c>
      <c r="H374" t="s">
        <v>1126</v>
      </c>
      <c r="I374" t="s">
        <v>1205</v>
      </c>
      <c r="J374">
        <v>1</v>
      </c>
      <c r="K374" t="s">
        <v>1695</v>
      </c>
      <c r="L374" t="s">
        <v>1743</v>
      </c>
      <c r="M374">
        <v>47351</v>
      </c>
      <c r="N374" t="s">
        <v>1751</v>
      </c>
      <c r="O374" t="s">
        <v>1754</v>
      </c>
      <c r="P374" t="s">
        <v>1750</v>
      </c>
      <c r="Q374">
        <f t="shared" si="5"/>
        <v>570.49397590361446</v>
      </c>
    </row>
    <row r="375" spans="1:17" x14ac:dyDescent="0.3">
      <c r="A375" t="s">
        <v>386</v>
      </c>
      <c r="B375" t="s">
        <v>808</v>
      </c>
      <c r="C375">
        <v>33</v>
      </c>
      <c r="D375" t="s">
        <v>892</v>
      </c>
      <c r="E375" t="s">
        <v>894</v>
      </c>
      <c r="F375" t="s">
        <v>903</v>
      </c>
      <c r="G375" t="s">
        <v>926</v>
      </c>
      <c r="H375" t="s">
        <v>1237</v>
      </c>
      <c r="I375" t="s">
        <v>979</v>
      </c>
      <c r="J375">
        <v>1</v>
      </c>
      <c r="K375" t="s">
        <v>1659</v>
      </c>
      <c r="L375" t="s">
        <v>1736</v>
      </c>
      <c r="M375">
        <v>18264</v>
      </c>
      <c r="N375" t="s">
        <v>1750</v>
      </c>
      <c r="O375" t="s">
        <v>1754</v>
      </c>
      <c r="P375" t="s">
        <v>1751</v>
      </c>
      <c r="Q375">
        <f t="shared" si="5"/>
        <v>220.04819277108433</v>
      </c>
    </row>
    <row r="376" spans="1:17" x14ac:dyDescent="0.3">
      <c r="A376" t="s">
        <v>387</v>
      </c>
      <c r="B376" t="s">
        <v>809</v>
      </c>
      <c r="C376">
        <v>59</v>
      </c>
      <c r="D376" t="s">
        <v>891</v>
      </c>
      <c r="E376" t="s">
        <v>893</v>
      </c>
      <c r="F376" t="s">
        <v>909</v>
      </c>
      <c r="G376" t="s">
        <v>935</v>
      </c>
      <c r="H376" t="s">
        <v>988</v>
      </c>
      <c r="I376" t="s">
        <v>1077</v>
      </c>
      <c r="J376">
        <v>1</v>
      </c>
      <c r="K376" t="s">
        <v>1696</v>
      </c>
      <c r="L376" t="s">
        <v>1741</v>
      </c>
      <c r="M376">
        <v>39139</v>
      </c>
      <c r="N376" t="s">
        <v>1750</v>
      </c>
      <c r="O376" t="s">
        <v>1755</v>
      </c>
      <c r="P376" t="s">
        <v>1751</v>
      </c>
      <c r="Q376">
        <f t="shared" si="5"/>
        <v>471.5542168674699</v>
      </c>
    </row>
    <row r="377" spans="1:17" x14ac:dyDescent="0.3">
      <c r="A377" t="s">
        <v>388</v>
      </c>
      <c r="B377" t="s">
        <v>810</v>
      </c>
      <c r="C377">
        <v>0</v>
      </c>
      <c r="D377" t="s">
        <v>891</v>
      </c>
      <c r="E377" t="s">
        <v>893</v>
      </c>
      <c r="F377" t="s">
        <v>901</v>
      </c>
      <c r="G377" t="s">
        <v>948</v>
      </c>
      <c r="H377" t="s">
        <v>1182</v>
      </c>
      <c r="I377" t="s">
        <v>1339</v>
      </c>
      <c r="J377">
        <v>1</v>
      </c>
      <c r="K377" t="s">
        <v>1697</v>
      </c>
      <c r="L377" t="s">
        <v>1733</v>
      </c>
      <c r="M377">
        <v>32212</v>
      </c>
      <c r="N377" t="s">
        <v>1750</v>
      </c>
      <c r="O377" t="s">
        <v>1754</v>
      </c>
      <c r="P377" t="s">
        <v>1750</v>
      </c>
      <c r="Q377">
        <f t="shared" si="5"/>
        <v>388.09638554216866</v>
      </c>
    </row>
    <row r="378" spans="1:17" x14ac:dyDescent="0.3">
      <c r="A378" t="s">
        <v>389</v>
      </c>
      <c r="B378" t="s">
        <v>811</v>
      </c>
      <c r="C378">
        <v>45</v>
      </c>
      <c r="D378" t="s">
        <v>892</v>
      </c>
      <c r="E378" t="s">
        <v>900</v>
      </c>
      <c r="F378" t="s">
        <v>907</v>
      </c>
      <c r="G378" t="s">
        <v>931</v>
      </c>
      <c r="H378" t="s">
        <v>1028</v>
      </c>
      <c r="I378" t="s">
        <v>955</v>
      </c>
      <c r="J378">
        <v>11</v>
      </c>
      <c r="K378" t="s">
        <v>1518</v>
      </c>
      <c r="L378" t="s">
        <v>1749</v>
      </c>
      <c r="M378">
        <v>444782</v>
      </c>
      <c r="N378" t="s">
        <v>1750</v>
      </c>
      <c r="O378" t="s">
        <v>1754</v>
      </c>
      <c r="P378" t="s">
        <v>1750</v>
      </c>
      <c r="Q378">
        <f t="shared" si="5"/>
        <v>5358.8192771084341</v>
      </c>
    </row>
    <row r="379" spans="1:17" x14ac:dyDescent="0.3">
      <c r="A379" t="s">
        <v>390</v>
      </c>
      <c r="B379" t="s">
        <v>812</v>
      </c>
      <c r="C379">
        <v>11</v>
      </c>
      <c r="D379" t="s">
        <v>891</v>
      </c>
      <c r="E379" t="s">
        <v>893</v>
      </c>
      <c r="F379" t="s">
        <v>901</v>
      </c>
      <c r="G379" t="s">
        <v>942</v>
      </c>
      <c r="H379" t="s">
        <v>1050</v>
      </c>
      <c r="I379" t="s">
        <v>1137</v>
      </c>
      <c r="J379">
        <v>1</v>
      </c>
      <c r="K379" t="s">
        <v>1493</v>
      </c>
      <c r="L379" t="s">
        <v>1745</v>
      </c>
      <c r="M379">
        <v>15097</v>
      </c>
      <c r="N379" t="s">
        <v>1750</v>
      </c>
      <c r="O379" t="s">
        <v>1752</v>
      </c>
      <c r="P379" t="s">
        <v>1751</v>
      </c>
      <c r="Q379">
        <f t="shared" si="5"/>
        <v>181.89156626506025</v>
      </c>
    </row>
    <row r="380" spans="1:17" x14ac:dyDescent="0.3">
      <c r="A380" t="s">
        <v>391</v>
      </c>
      <c r="B380" t="s">
        <v>813</v>
      </c>
      <c r="C380">
        <v>80</v>
      </c>
      <c r="D380" t="s">
        <v>891</v>
      </c>
      <c r="E380" t="s">
        <v>898</v>
      </c>
      <c r="F380" t="s">
        <v>906</v>
      </c>
      <c r="G380" t="s">
        <v>943</v>
      </c>
      <c r="H380" t="s">
        <v>971</v>
      </c>
      <c r="I380" t="s">
        <v>1452</v>
      </c>
      <c r="J380">
        <v>1</v>
      </c>
      <c r="K380" t="s">
        <v>1683</v>
      </c>
      <c r="L380" t="s">
        <v>1730</v>
      </c>
      <c r="M380">
        <v>15784</v>
      </c>
      <c r="N380" t="s">
        <v>1750</v>
      </c>
      <c r="O380" t="s">
        <v>1753</v>
      </c>
      <c r="P380" t="s">
        <v>1751</v>
      </c>
      <c r="Q380">
        <f t="shared" si="5"/>
        <v>190.16867469879517</v>
      </c>
    </row>
    <row r="381" spans="1:17" x14ac:dyDescent="0.3">
      <c r="A381" t="s">
        <v>392</v>
      </c>
      <c r="B381" t="s">
        <v>814</v>
      </c>
      <c r="C381">
        <v>78</v>
      </c>
      <c r="D381" t="s">
        <v>891</v>
      </c>
      <c r="E381" t="s">
        <v>893</v>
      </c>
      <c r="F381" t="s">
        <v>908</v>
      </c>
      <c r="G381" t="s">
        <v>921</v>
      </c>
      <c r="H381" t="s">
        <v>1238</v>
      </c>
      <c r="I381" t="s">
        <v>1371</v>
      </c>
      <c r="J381">
        <v>11</v>
      </c>
      <c r="K381" t="s">
        <v>1694</v>
      </c>
      <c r="L381" t="s">
        <v>1735</v>
      </c>
      <c r="M381">
        <v>546458</v>
      </c>
      <c r="N381" t="s">
        <v>1750</v>
      </c>
      <c r="O381" t="s">
        <v>1756</v>
      </c>
      <c r="P381" t="s">
        <v>1751</v>
      </c>
      <c r="Q381">
        <f t="shared" si="5"/>
        <v>6583.8313253012047</v>
      </c>
    </row>
    <row r="382" spans="1:17" x14ac:dyDescent="0.3">
      <c r="A382" t="s">
        <v>393</v>
      </c>
      <c r="B382" t="s">
        <v>815</v>
      </c>
      <c r="C382">
        <v>2</v>
      </c>
      <c r="D382" t="s">
        <v>891</v>
      </c>
      <c r="E382" t="s">
        <v>894</v>
      </c>
      <c r="F382" t="s">
        <v>901</v>
      </c>
      <c r="G382" t="s">
        <v>942</v>
      </c>
      <c r="H382" t="s">
        <v>1239</v>
      </c>
      <c r="I382" t="s">
        <v>1453</v>
      </c>
      <c r="J382">
        <v>1</v>
      </c>
      <c r="K382" t="s">
        <v>1658</v>
      </c>
      <c r="L382" t="s">
        <v>1745</v>
      </c>
      <c r="M382">
        <v>42451</v>
      </c>
      <c r="N382" t="s">
        <v>1750</v>
      </c>
      <c r="O382" t="s">
        <v>1756</v>
      </c>
      <c r="P382" t="s">
        <v>1751</v>
      </c>
      <c r="Q382">
        <f t="shared" si="5"/>
        <v>511.45783132530119</v>
      </c>
    </row>
    <row r="383" spans="1:17" x14ac:dyDescent="0.3">
      <c r="A383" t="s">
        <v>394</v>
      </c>
      <c r="B383" t="s">
        <v>774</v>
      </c>
      <c r="C383">
        <v>55</v>
      </c>
      <c r="D383" t="s">
        <v>891</v>
      </c>
      <c r="E383" t="s">
        <v>893</v>
      </c>
      <c r="F383" t="s">
        <v>907</v>
      </c>
      <c r="G383" t="s">
        <v>916</v>
      </c>
      <c r="H383" t="s">
        <v>1240</v>
      </c>
      <c r="I383" t="s">
        <v>1268</v>
      </c>
      <c r="J383">
        <v>16</v>
      </c>
      <c r="K383" t="s">
        <v>1582</v>
      </c>
      <c r="L383" t="s">
        <v>1743</v>
      </c>
      <c r="M383">
        <v>680716</v>
      </c>
      <c r="N383" t="s">
        <v>1750</v>
      </c>
      <c r="O383" t="s">
        <v>1754</v>
      </c>
      <c r="P383" t="s">
        <v>1750</v>
      </c>
      <c r="Q383">
        <f t="shared" si="5"/>
        <v>8201.3975903614464</v>
      </c>
    </row>
    <row r="384" spans="1:17" x14ac:dyDescent="0.3">
      <c r="A384" t="s">
        <v>395</v>
      </c>
      <c r="B384" t="s">
        <v>673</v>
      </c>
      <c r="C384">
        <v>67</v>
      </c>
      <c r="D384" t="s">
        <v>891</v>
      </c>
      <c r="E384" t="s">
        <v>893</v>
      </c>
      <c r="F384" t="s">
        <v>905</v>
      </c>
      <c r="G384" t="s">
        <v>918</v>
      </c>
      <c r="H384" t="s">
        <v>1241</v>
      </c>
      <c r="I384" t="s">
        <v>1453</v>
      </c>
      <c r="J384">
        <v>2</v>
      </c>
      <c r="K384" t="s">
        <v>1552</v>
      </c>
      <c r="L384" t="s">
        <v>1740</v>
      </c>
      <c r="M384">
        <v>50811</v>
      </c>
      <c r="N384" t="s">
        <v>1750</v>
      </c>
      <c r="O384" t="s">
        <v>1753</v>
      </c>
      <c r="P384" t="s">
        <v>1750</v>
      </c>
      <c r="Q384">
        <f t="shared" si="5"/>
        <v>612.18072289156623</v>
      </c>
    </row>
    <row r="385" spans="1:17" x14ac:dyDescent="0.3">
      <c r="A385" t="s">
        <v>396</v>
      </c>
      <c r="B385" t="s">
        <v>816</v>
      </c>
      <c r="C385">
        <v>25</v>
      </c>
      <c r="D385" t="s">
        <v>891</v>
      </c>
      <c r="E385" t="s">
        <v>893</v>
      </c>
      <c r="F385" t="s">
        <v>909</v>
      </c>
      <c r="G385" t="s">
        <v>920</v>
      </c>
      <c r="H385" t="s">
        <v>1172</v>
      </c>
      <c r="I385" t="s">
        <v>1454</v>
      </c>
      <c r="J385">
        <v>1</v>
      </c>
      <c r="K385" t="s">
        <v>1618</v>
      </c>
      <c r="L385" t="s">
        <v>1732</v>
      </c>
      <c r="M385">
        <v>32259</v>
      </c>
      <c r="N385" t="s">
        <v>1751</v>
      </c>
      <c r="O385" t="s">
        <v>1754</v>
      </c>
      <c r="P385" t="s">
        <v>1751</v>
      </c>
      <c r="Q385">
        <f t="shared" si="5"/>
        <v>388.66265060240966</v>
      </c>
    </row>
    <row r="386" spans="1:17" x14ac:dyDescent="0.3">
      <c r="A386" t="s">
        <v>397</v>
      </c>
      <c r="B386" t="s">
        <v>550</v>
      </c>
      <c r="C386">
        <v>30</v>
      </c>
      <c r="D386" t="s">
        <v>891</v>
      </c>
      <c r="E386" t="s">
        <v>893</v>
      </c>
      <c r="F386" t="s">
        <v>905</v>
      </c>
      <c r="G386" t="s">
        <v>929</v>
      </c>
      <c r="H386" t="s">
        <v>1242</v>
      </c>
      <c r="I386" t="s">
        <v>1455</v>
      </c>
      <c r="J386">
        <v>8</v>
      </c>
      <c r="K386" t="s">
        <v>1698</v>
      </c>
      <c r="L386" t="s">
        <v>1740</v>
      </c>
      <c r="M386">
        <v>204995</v>
      </c>
      <c r="N386" t="s">
        <v>1750</v>
      </c>
      <c r="O386" t="s">
        <v>1754</v>
      </c>
      <c r="P386" t="s">
        <v>1751</v>
      </c>
      <c r="Q386">
        <f t="shared" si="5"/>
        <v>2469.8192771084337</v>
      </c>
    </row>
    <row r="387" spans="1:17" x14ac:dyDescent="0.3">
      <c r="A387" t="s">
        <v>398</v>
      </c>
      <c r="B387" t="s">
        <v>817</v>
      </c>
      <c r="C387">
        <v>36</v>
      </c>
      <c r="D387" t="s">
        <v>891</v>
      </c>
      <c r="E387" t="s">
        <v>893</v>
      </c>
      <c r="F387" t="s">
        <v>904</v>
      </c>
      <c r="G387" t="s">
        <v>913</v>
      </c>
      <c r="H387" t="s">
        <v>1187</v>
      </c>
      <c r="I387" t="s">
        <v>1400</v>
      </c>
      <c r="J387">
        <v>2</v>
      </c>
      <c r="K387" t="s">
        <v>1670</v>
      </c>
      <c r="L387" t="s">
        <v>1724</v>
      </c>
      <c r="M387">
        <v>96833</v>
      </c>
      <c r="N387" t="s">
        <v>1751</v>
      </c>
      <c r="O387" t="s">
        <v>1752</v>
      </c>
      <c r="P387" t="s">
        <v>1751</v>
      </c>
      <c r="Q387">
        <f t="shared" si="5"/>
        <v>1166.6626506024097</v>
      </c>
    </row>
    <row r="388" spans="1:17" x14ac:dyDescent="0.3">
      <c r="A388" t="s">
        <v>399</v>
      </c>
      <c r="B388" t="s">
        <v>818</v>
      </c>
      <c r="C388">
        <v>38</v>
      </c>
      <c r="D388" t="s">
        <v>891</v>
      </c>
      <c r="E388" t="s">
        <v>896</v>
      </c>
      <c r="F388" t="s">
        <v>906</v>
      </c>
      <c r="G388" t="s">
        <v>943</v>
      </c>
      <c r="H388" t="s">
        <v>1000</v>
      </c>
      <c r="I388" t="s">
        <v>1133</v>
      </c>
      <c r="J388">
        <v>10</v>
      </c>
      <c r="K388" t="s">
        <v>1671</v>
      </c>
      <c r="L388" t="s">
        <v>1730</v>
      </c>
      <c r="M388">
        <v>292264</v>
      </c>
      <c r="N388" t="s">
        <v>1751</v>
      </c>
      <c r="O388" t="s">
        <v>1753</v>
      </c>
      <c r="P388" t="s">
        <v>1751</v>
      </c>
      <c r="Q388">
        <f t="shared" si="5"/>
        <v>3521.2530120481929</v>
      </c>
    </row>
    <row r="389" spans="1:17" x14ac:dyDescent="0.3">
      <c r="A389" t="s">
        <v>400</v>
      </c>
      <c r="B389" t="s">
        <v>819</v>
      </c>
      <c r="C389">
        <v>67</v>
      </c>
      <c r="D389" t="s">
        <v>892</v>
      </c>
      <c r="E389" t="s">
        <v>897</v>
      </c>
      <c r="F389" t="s">
        <v>907</v>
      </c>
      <c r="G389" t="s">
        <v>945</v>
      </c>
      <c r="H389" t="s">
        <v>1053</v>
      </c>
      <c r="I389" t="s">
        <v>1379</v>
      </c>
      <c r="J389">
        <v>13</v>
      </c>
      <c r="K389" t="s">
        <v>1699</v>
      </c>
      <c r="L389" t="s">
        <v>1749</v>
      </c>
      <c r="M389">
        <v>625886</v>
      </c>
      <c r="N389" t="s">
        <v>1750</v>
      </c>
      <c r="O389" t="s">
        <v>1753</v>
      </c>
      <c r="P389" t="s">
        <v>1751</v>
      </c>
      <c r="Q389">
        <f t="shared" ref="Q389:Q452" si="6">M389/83</f>
        <v>7540.7951807228919</v>
      </c>
    </row>
    <row r="390" spans="1:17" x14ac:dyDescent="0.3">
      <c r="A390" t="s">
        <v>401</v>
      </c>
      <c r="B390" t="s">
        <v>820</v>
      </c>
      <c r="C390">
        <v>84</v>
      </c>
      <c r="D390" t="s">
        <v>892</v>
      </c>
      <c r="E390" t="s">
        <v>898</v>
      </c>
      <c r="F390" t="s">
        <v>903</v>
      </c>
      <c r="G390" t="s">
        <v>951</v>
      </c>
      <c r="H390" t="s">
        <v>1243</v>
      </c>
      <c r="I390" t="s">
        <v>1456</v>
      </c>
      <c r="J390">
        <v>6</v>
      </c>
      <c r="K390" t="s">
        <v>1700</v>
      </c>
      <c r="L390" t="s">
        <v>1736</v>
      </c>
      <c r="M390">
        <v>23790</v>
      </c>
      <c r="N390" t="s">
        <v>1750</v>
      </c>
      <c r="O390" t="s">
        <v>1754</v>
      </c>
      <c r="P390" t="s">
        <v>1751</v>
      </c>
      <c r="Q390">
        <f t="shared" si="6"/>
        <v>286.62650602409639</v>
      </c>
    </row>
    <row r="391" spans="1:17" x14ac:dyDescent="0.3">
      <c r="A391" t="s">
        <v>402</v>
      </c>
      <c r="B391" t="s">
        <v>701</v>
      </c>
      <c r="C391">
        <v>37</v>
      </c>
      <c r="D391" t="s">
        <v>892</v>
      </c>
      <c r="E391" t="s">
        <v>894</v>
      </c>
      <c r="F391" t="s">
        <v>906</v>
      </c>
      <c r="G391" t="s">
        <v>927</v>
      </c>
      <c r="H391" t="s">
        <v>1244</v>
      </c>
      <c r="I391" t="s">
        <v>1457</v>
      </c>
      <c r="J391">
        <v>1</v>
      </c>
      <c r="K391" t="s">
        <v>1522</v>
      </c>
      <c r="L391" t="s">
        <v>1730</v>
      </c>
      <c r="M391">
        <v>30136</v>
      </c>
      <c r="N391" t="s">
        <v>1750</v>
      </c>
      <c r="O391" t="s">
        <v>1754</v>
      </c>
      <c r="P391" t="s">
        <v>1751</v>
      </c>
      <c r="Q391">
        <f t="shared" si="6"/>
        <v>363.08433734939757</v>
      </c>
    </row>
    <row r="392" spans="1:17" x14ac:dyDescent="0.3">
      <c r="A392" t="s">
        <v>403</v>
      </c>
      <c r="B392" t="s">
        <v>821</v>
      </c>
      <c r="C392">
        <v>45</v>
      </c>
      <c r="D392" t="s">
        <v>891</v>
      </c>
      <c r="E392" t="s">
        <v>894</v>
      </c>
      <c r="F392" t="s">
        <v>903</v>
      </c>
      <c r="G392" t="s">
        <v>930</v>
      </c>
      <c r="H392" t="s">
        <v>1044</v>
      </c>
      <c r="I392" t="s">
        <v>1358</v>
      </c>
      <c r="J392">
        <v>1</v>
      </c>
      <c r="K392" t="s">
        <v>1620</v>
      </c>
      <c r="L392" t="s">
        <v>1734</v>
      </c>
      <c r="M392">
        <v>14389</v>
      </c>
      <c r="N392" t="s">
        <v>1751</v>
      </c>
      <c r="O392" t="s">
        <v>1754</v>
      </c>
      <c r="P392" t="s">
        <v>1751</v>
      </c>
      <c r="Q392">
        <f t="shared" si="6"/>
        <v>173.36144578313252</v>
      </c>
    </row>
    <row r="393" spans="1:17" x14ac:dyDescent="0.3">
      <c r="A393" t="s">
        <v>404</v>
      </c>
      <c r="B393" t="s">
        <v>774</v>
      </c>
      <c r="C393">
        <v>40</v>
      </c>
      <c r="D393" t="s">
        <v>891</v>
      </c>
      <c r="E393" t="s">
        <v>894</v>
      </c>
      <c r="F393" t="s">
        <v>902</v>
      </c>
      <c r="G393" t="s">
        <v>911</v>
      </c>
      <c r="H393" t="s">
        <v>1017</v>
      </c>
      <c r="I393" t="s">
        <v>1085</v>
      </c>
      <c r="J393">
        <v>6</v>
      </c>
      <c r="K393" t="s">
        <v>1544</v>
      </c>
      <c r="L393" t="s">
        <v>1746</v>
      </c>
      <c r="M393">
        <v>169448</v>
      </c>
      <c r="N393" t="s">
        <v>1751</v>
      </c>
      <c r="O393" t="s">
        <v>1752</v>
      </c>
      <c r="P393" t="s">
        <v>1751</v>
      </c>
      <c r="Q393">
        <f t="shared" si="6"/>
        <v>2041.5421686746988</v>
      </c>
    </row>
    <row r="394" spans="1:17" x14ac:dyDescent="0.3">
      <c r="A394" t="s">
        <v>405</v>
      </c>
      <c r="B394" t="s">
        <v>822</v>
      </c>
      <c r="C394">
        <v>34</v>
      </c>
      <c r="D394" t="s">
        <v>891</v>
      </c>
      <c r="E394" t="s">
        <v>893</v>
      </c>
      <c r="F394" t="s">
        <v>904</v>
      </c>
      <c r="G394" t="s">
        <v>913</v>
      </c>
      <c r="H394" t="s">
        <v>1245</v>
      </c>
      <c r="I394" t="s">
        <v>1096</v>
      </c>
      <c r="J394">
        <v>4</v>
      </c>
      <c r="K394" t="s">
        <v>1560</v>
      </c>
      <c r="L394" t="s">
        <v>1742</v>
      </c>
      <c r="M394">
        <v>222052</v>
      </c>
      <c r="N394" t="s">
        <v>1750</v>
      </c>
      <c r="O394" t="s">
        <v>1753</v>
      </c>
      <c r="P394" t="s">
        <v>1751</v>
      </c>
      <c r="Q394">
        <f t="shared" si="6"/>
        <v>2675.3253012048194</v>
      </c>
    </row>
    <row r="395" spans="1:17" x14ac:dyDescent="0.3">
      <c r="A395" t="s">
        <v>406</v>
      </c>
      <c r="B395" t="s">
        <v>823</v>
      </c>
      <c r="C395">
        <v>73</v>
      </c>
      <c r="D395" t="s">
        <v>891</v>
      </c>
      <c r="E395" t="s">
        <v>894</v>
      </c>
      <c r="F395" t="s">
        <v>906</v>
      </c>
      <c r="G395" t="s">
        <v>919</v>
      </c>
      <c r="H395" t="s">
        <v>1101</v>
      </c>
      <c r="I395" t="s">
        <v>1458</v>
      </c>
      <c r="J395">
        <v>23</v>
      </c>
      <c r="K395" t="s">
        <v>1609</v>
      </c>
      <c r="L395" t="s">
        <v>1726</v>
      </c>
      <c r="M395">
        <v>316480</v>
      </c>
      <c r="N395" t="s">
        <v>1750</v>
      </c>
      <c r="O395" t="s">
        <v>1754</v>
      </c>
      <c r="P395" t="s">
        <v>1751</v>
      </c>
      <c r="Q395">
        <f t="shared" si="6"/>
        <v>3813.0120481927711</v>
      </c>
    </row>
    <row r="396" spans="1:17" x14ac:dyDescent="0.3">
      <c r="A396" t="s">
        <v>407</v>
      </c>
      <c r="B396" t="s">
        <v>824</v>
      </c>
      <c r="C396">
        <v>42</v>
      </c>
      <c r="D396" t="s">
        <v>892</v>
      </c>
      <c r="E396" t="s">
        <v>900</v>
      </c>
      <c r="F396" t="s">
        <v>904</v>
      </c>
      <c r="G396" t="s">
        <v>934</v>
      </c>
      <c r="H396" t="s">
        <v>1246</v>
      </c>
      <c r="I396" t="s">
        <v>1459</v>
      </c>
      <c r="J396">
        <v>1</v>
      </c>
      <c r="K396" t="s">
        <v>1682</v>
      </c>
      <c r="L396" t="s">
        <v>1742</v>
      </c>
      <c r="M396">
        <v>20118</v>
      </c>
      <c r="N396" t="s">
        <v>1750</v>
      </c>
      <c r="O396" t="s">
        <v>1754</v>
      </c>
      <c r="P396" t="s">
        <v>1751</v>
      </c>
      <c r="Q396">
        <f t="shared" si="6"/>
        <v>242.3855421686747</v>
      </c>
    </row>
    <row r="397" spans="1:17" x14ac:dyDescent="0.3">
      <c r="A397" t="s">
        <v>408</v>
      </c>
      <c r="B397" t="s">
        <v>825</v>
      </c>
      <c r="C397">
        <v>27</v>
      </c>
      <c r="D397" t="s">
        <v>891</v>
      </c>
      <c r="E397" t="s">
        <v>897</v>
      </c>
      <c r="F397" t="s">
        <v>906</v>
      </c>
      <c r="G397" t="s">
        <v>915</v>
      </c>
      <c r="H397" t="s">
        <v>1247</v>
      </c>
      <c r="I397" t="s">
        <v>1460</v>
      </c>
      <c r="J397">
        <v>2</v>
      </c>
      <c r="K397" t="s">
        <v>1701</v>
      </c>
      <c r="L397" t="s">
        <v>1726</v>
      </c>
      <c r="M397">
        <v>45912</v>
      </c>
      <c r="N397" t="s">
        <v>1751</v>
      </c>
      <c r="O397" t="s">
        <v>1754</v>
      </c>
      <c r="P397" t="s">
        <v>1751</v>
      </c>
      <c r="Q397">
        <f t="shared" si="6"/>
        <v>553.15662650602405</v>
      </c>
    </row>
    <row r="398" spans="1:17" x14ac:dyDescent="0.3">
      <c r="A398" t="s">
        <v>409</v>
      </c>
      <c r="B398" t="s">
        <v>826</v>
      </c>
      <c r="C398">
        <v>71</v>
      </c>
      <c r="D398" t="s">
        <v>892</v>
      </c>
      <c r="E398" t="s">
        <v>897</v>
      </c>
      <c r="F398" t="s">
        <v>907</v>
      </c>
      <c r="G398" t="s">
        <v>952</v>
      </c>
      <c r="H398" t="s">
        <v>1248</v>
      </c>
      <c r="I398" t="s">
        <v>1125</v>
      </c>
      <c r="J398">
        <v>14</v>
      </c>
      <c r="K398" t="s">
        <v>1624</v>
      </c>
      <c r="L398" t="s">
        <v>1743</v>
      </c>
      <c r="M398">
        <v>368692</v>
      </c>
      <c r="N398" t="s">
        <v>1750</v>
      </c>
      <c r="O398" t="s">
        <v>1755</v>
      </c>
      <c r="P398" t="s">
        <v>1751</v>
      </c>
      <c r="Q398">
        <f t="shared" si="6"/>
        <v>4442.0722891566265</v>
      </c>
    </row>
    <row r="399" spans="1:17" x14ac:dyDescent="0.3">
      <c r="A399" t="s">
        <v>410</v>
      </c>
      <c r="B399" t="s">
        <v>827</v>
      </c>
      <c r="C399">
        <v>75</v>
      </c>
      <c r="D399" t="s">
        <v>891</v>
      </c>
      <c r="E399" t="s">
        <v>894</v>
      </c>
      <c r="F399" t="s">
        <v>908</v>
      </c>
      <c r="G399" t="s">
        <v>947</v>
      </c>
      <c r="H399" t="s">
        <v>1249</v>
      </c>
      <c r="I399" t="s">
        <v>1461</v>
      </c>
      <c r="J399">
        <v>2</v>
      </c>
      <c r="K399" t="s">
        <v>1655</v>
      </c>
      <c r="L399" t="s">
        <v>1737</v>
      </c>
      <c r="M399">
        <v>45808</v>
      </c>
      <c r="N399" t="s">
        <v>1751</v>
      </c>
      <c r="O399" t="s">
        <v>1753</v>
      </c>
      <c r="P399" t="s">
        <v>1750</v>
      </c>
      <c r="Q399">
        <f t="shared" si="6"/>
        <v>551.90361445783128</v>
      </c>
    </row>
    <row r="400" spans="1:17" x14ac:dyDescent="0.3">
      <c r="A400" t="s">
        <v>411</v>
      </c>
      <c r="B400" t="s">
        <v>589</v>
      </c>
      <c r="C400">
        <v>44</v>
      </c>
      <c r="D400" t="s">
        <v>891</v>
      </c>
      <c r="E400" t="s">
        <v>897</v>
      </c>
      <c r="F400" t="s">
        <v>909</v>
      </c>
      <c r="G400" t="s">
        <v>920</v>
      </c>
      <c r="H400" t="s">
        <v>1026</v>
      </c>
      <c r="I400" t="s">
        <v>1462</v>
      </c>
      <c r="J400">
        <v>5</v>
      </c>
      <c r="K400" t="s">
        <v>1702</v>
      </c>
      <c r="L400" t="s">
        <v>1741</v>
      </c>
      <c r="M400">
        <v>91780</v>
      </c>
      <c r="N400" t="s">
        <v>1750</v>
      </c>
      <c r="O400" t="s">
        <v>1753</v>
      </c>
      <c r="P400" t="s">
        <v>1751</v>
      </c>
      <c r="Q400">
        <f t="shared" si="6"/>
        <v>1105.7831325301204</v>
      </c>
    </row>
    <row r="401" spans="1:17" x14ac:dyDescent="0.3">
      <c r="A401" t="s">
        <v>412</v>
      </c>
      <c r="B401" t="s">
        <v>725</v>
      </c>
      <c r="C401">
        <v>39</v>
      </c>
      <c r="D401" t="s">
        <v>891</v>
      </c>
      <c r="E401" t="s">
        <v>900</v>
      </c>
      <c r="F401" t="s">
        <v>906</v>
      </c>
      <c r="G401" t="s">
        <v>919</v>
      </c>
      <c r="H401" t="s">
        <v>1148</v>
      </c>
      <c r="I401" t="s">
        <v>1384</v>
      </c>
      <c r="J401">
        <v>9</v>
      </c>
      <c r="K401" t="s">
        <v>1503</v>
      </c>
      <c r="L401" t="s">
        <v>1739</v>
      </c>
      <c r="M401">
        <v>148699</v>
      </c>
      <c r="N401" t="s">
        <v>1751</v>
      </c>
      <c r="O401" t="s">
        <v>1753</v>
      </c>
      <c r="P401" t="s">
        <v>1750</v>
      </c>
      <c r="Q401">
        <f t="shared" si="6"/>
        <v>1791.5542168674699</v>
      </c>
    </row>
    <row r="402" spans="1:17" x14ac:dyDescent="0.3">
      <c r="A402" t="s">
        <v>413</v>
      </c>
      <c r="B402" t="s">
        <v>828</v>
      </c>
      <c r="C402">
        <v>20</v>
      </c>
      <c r="D402" t="s">
        <v>891</v>
      </c>
      <c r="E402" t="s">
        <v>894</v>
      </c>
      <c r="F402" t="s">
        <v>903</v>
      </c>
      <c r="G402" t="s">
        <v>941</v>
      </c>
      <c r="H402" t="s">
        <v>1250</v>
      </c>
      <c r="I402" t="s">
        <v>1161</v>
      </c>
      <c r="J402">
        <v>2</v>
      </c>
      <c r="K402" t="s">
        <v>1601</v>
      </c>
      <c r="L402" t="s">
        <v>1736</v>
      </c>
      <c r="M402">
        <v>32831</v>
      </c>
      <c r="N402" t="s">
        <v>1750</v>
      </c>
      <c r="O402" t="s">
        <v>1752</v>
      </c>
      <c r="P402" t="s">
        <v>1751</v>
      </c>
      <c r="Q402">
        <f t="shared" si="6"/>
        <v>395.5542168674699</v>
      </c>
    </row>
    <row r="403" spans="1:17" x14ac:dyDescent="0.3">
      <c r="A403" t="s">
        <v>414</v>
      </c>
      <c r="B403" t="s">
        <v>829</v>
      </c>
      <c r="C403">
        <v>43</v>
      </c>
      <c r="D403" t="s">
        <v>892</v>
      </c>
      <c r="E403" t="s">
        <v>895</v>
      </c>
      <c r="F403" t="s">
        <v>906</v>
      </c>
      <c r="G403" t="s">
        <v>919</v>
      </c>
      <c r="H403" t="s">
        <v>1251</v>
      </c>
      <c r="I403" t="s">
        <v>1374</v>
      </c>
      <c r="J403">
        <v>6</v>
      </c>
      <c r="K403" t="s">
        <v>1542</v>
      </c>
      <c r="L403" t="s">
        <v>1726</v>
      </c>
      <c r="M403">
        <v>212376</v>
      </c>
      <c r="N403" t="s">
        <v>1751</v>
      </c>
      <c r="O403" t="s">
        <v>1754</v>
      </c>
      <c r="P403" t="s">
        <v>1750</v>
      </c>
      <c r="Q403">
        <f t="shared" si="6"/>
        <v>2558.7469879518071</v>
      </c>
    </row>
    <row r="404" spans="1:17" x14ac:dyDescent="0.3">
      <c r="A404" t="s">
        <v>415</v>
      </c>
      <c r="B404" t="s">
        <v>585</v>
      </c>
      <c r="C404">
        <v>29</v>
      </c>
      <c r="D404" t="s">
        <v>892</v>
      </c>
      <c r="E404" t="s">
        <v>899</v>
      </c>
      <c r="F404" t="s">
        <v>904</v>
      </c>
      <c r="G404" t="s">
        <v>946</v>
      </c>
      <c r="H404" t="s">
        <v>1252</v>
      </c>
      <c r="I404" t="s">
        <v>1258</v>
      </c>
      <c r="J404">
        <v>4</v>
      </c>
      <c r="K404" t="s">
        <v>1687</v>
      </c>
      <c r="L404" t="s">
        <v>1747</v>
      </c>
      <c r="M404">
        <v>157546</v>
      </c>
      <c r="N404" t="s">
        <v>1750</v>
      </c>
      <c r="O404" t="s">
        <v>1754</v>
      </c>
      <c r="P404" t="s">
        <v>1751</v>
      </c>
      <c r="Q404">
        <f t="shared" si="6"/>
        <v>1898.1445783132531</v>
      </c>
    </row>
    <row r="405" spans="1:17" x14ac:dyDescent="0.3">
      <c r="A405" t="s">
        <v>416</v>
      </c>
      <c r="B405" t="s">
        <v>704</v>
      </c>
      <c r="C405">
        <v>26</v>
      </c>
      <c r="D405" t="s">
        <v>892</v>
      </c>
      <c r="E405" t="s">
        <v>897</v>
      </c>
      <c r="F405" t="s">
        <v>904</v>
      </c>
      <c r="G405" t="s">
        <v>913</v>
      </c>
      <c r="H405" t="s">
        <v>1132</v>
      </c>
      <c r="I405" t="s">
        <v>1088</v>
      </c>
      <c r="J405">
        <v>1</v>
      </c>
      <c r="K405" t="s">
        <v>1682</v>
      </c>
      <c r="L405" t="s">
        <v>1724</v>
      </c>
      <c r="M405">
        <v>38199</v>
      </c>
      <c r="N405" t="s">
        <v>1751</v>
      </c>
      <c r="O405" t="s">
        <v>1754</v>
      </c>
      <c r="P405" t="s">
        <v>1751</v>
      </c>
      <c r="Q405">
        <f t="shared" si="6"/>
        <v>460.22891566265059</v>
      </c>
    </row>
    <row r="406" spans="1:17" x14ac:dyDescent="0.3">
      <c r="A406" t="s">
        <v>417</v>
      </c>
      <c r="B406" t="s">
        <v>552</v>
      </c>
      <c r="C406">
        <v>84</v>
      </c>
      <c r="D406" t="s">
        <v>891</v>
      </c>
      <c r="E406" t="s">
        <v>894</v>
      </c>
      <c r="F406" t="s">
        <v>908</v>
      </c>
      <c r="G406" t="s">
        <v>921</v>
      </c>
      <c r="H406" t="s">
        <v>1253</v>
      </c>
      <c r="I406" t="s">
        <v>1463</v>
      </c>
      <c r="J406">
        <v>13</v>
      </c>
      <c r="K406" t="s">
        <v>1703</v>
      </c>
      <c r="L406" t="s">
        <v>1735</v>
      </c>
      <c r="M406">
        <v>745953</v>
      </c>
      <c r="N406" t="s">
        <v>1750</v>
      </c>
      <c r="O406" t="s">
        <v>1754</v>
      </c>
      <c r="P406" t="s">
        <v>1751</v>
      </c>
      <c r="Q406">
        <f t="shared" si="6"/>
        <v>8987.3855421686749</v>
      </c>
    </row>
    <row r="407" spans="1:17" x14ac:dyDescent="0.3">
      <c r="A407" t="s">
        <v>418</v>
      </c>
      <c r="B407" t="s">
        <v>830</v>
      </c>
      <c r="C407">
        <v>36</v>
      </c>
      <c r="D407" t="s">
        <v>891</v>
      </c>
      <c r="E407" t="s">
        <v>894</v>
      </c>
      <c r="F407" t="s">
        <v>906</v>
      </c>
      <c r="G407" t="s">
        <v>915</v>
      </c>
      <c r="H407" t="s">
        <v>1254</v>
      </c>
      <c r="I407" t="s">
        <v>1239</v>
      </c>
      <c r="J407">
        <v>3</v>
      </c>
      <c r="K407" t="s">
        <v>1683</v>
      </c>
      <c r="L407" t="s">
        <v>1739</v>
      </c>
      <c r="M407">
        <v>42858</v>
      </c>
      <c r="N407" t="s">
        <v>1750</v>
      </c>
      <c r="O407" t="s">
        <v>1756</v>
      </c>
      <c r="P407" t="s">
        <v>1751</v>
      </c>
      <c r="Q407">
        <f t="shared" si="6"/>
        <v>516.36144578313258</v>
      </c>
    </row>
    <row r="408" spans="1:17" x14ac:dyDescent="0.3">
      <c r="A408" t="s">
        <v>419</v>
      </c>
      <c r="B408" t="s">
        <v>831</v>
      </c>
      <c r="C408">
        <v>87</v>
      </c>
      <c r="D408" t="s">
        <v>891</v>
      </c>
      <c r="E408" t="s">
        <v>893</v>
      </c>
      <c r="F408" t="s">
        <v>902</v>
      </c>
      <c r="G408" t="s">
        <v>923</v>
      </c>
      <c r="H408" t="s">
        <v>1255</v>
      </c>
      <c r="I408" t="s">
        <v>1270</v>
      </c>
      <c r="J408">
        <v>8</v>
      </c>
      <c r="K408" t="s">
        <v>1704</v>
      </c>
      <c r="L408" t="s">
        <v>1746</v>
      </c>
      <c r="M408">
        <v>392731</v>
      </c>
      <c r="N408" t="s">
        <v>1751</v>
      </c>
      <c r="O408" t="s">
        <v>1753</v>
      </c>
      <c r="P408" t="s">
        <v>1750</v>
      </c>
      <c r="Q408">
        <f t="shared" si="6"/>
        <v>4731.6987951807232</v>
      </c>
    </row>
    <row r="409" spans="1:17" x14ac:dyDescent="0.3">
      <c r="A409" t="s">
        <v>420</v>
      </c>
      <c r="B409" t="s">
        <v>832</v>
      </c>
      <c r="C409">
        <v>47</v>
      </c>
      <c r="D409" t="s">
        <v>891</v>
      </c>
      <c r="E409" t="s">
        <v>894</v>
      </c>
      <c r="F409" t="s">
        <v>903</v>
      </c>
      <c r="G409" t="s">
        <v>951</v>
      </c>
      <c r="H409" t="s">
        <v>1256</v>
      </c>
      <c r="I409" t="s">
        <v>1464</v>
      </c>
      <c r="J409">
        <v>1</v>
      </c>
      <c r="K409" t="s">
        <v>1705</v>
      </c>
      <c r="L409" t="s">
        <v>1723</v>
      </c>
      <c r="M409">
        <v>4604</v>
      </c>
      <c r="N409" t="s">
        <v>1750</v>
      </c>
      <c r="O409" t="s">
        <v>1755</v>
      </c>
      <c r="P409" t="s">
        <v>1750</v>
      </c>
      <c r="Q409">
        <f t="shared" si="6"/>
        <v>55.46987951807229</v>
      </c>
    </row>
    <row r="410" spans="1:17" x14ac:dyDescent="0.3">
      <c r="A410" t="s">
        <v>421</v>
      </c>
      <c r="B410" t="s">
        <v>833</v>
      </c>
      <c r="C410">
        <v>22</v>
      </c>
      <c r="D410" t="s">
        <v>892</v>
      </c>
      <c r="E410" t="s">
        <v>899</v>
      </c>
      <c r="F410" t="s">
        <v>904</v>
      </c>
      <c r="G410" t="s">
        <v>937</v>
      </c>
      <c r="H410" t="s">
        <v>1257</v>
      </c>
      <c r="I410" t="s">
        <v>1465</v>
      </c>
      <c r="J410">
        <v>6</v>
      </c>
      <c r="K410" t="s">
        <v>1706</v>
      </c>
      <c r="L410" t="s">
        <v>1742</v>
      </c>
      <c r="M410">
        <v>168632</v>
      </c>
      <c r="N410" t="s">
        <v>1750</v>
      </c>
      <c r="O410" t="s">
        <v>1754</v>
      </c>
      <c r="P410" t="s">
        <v>1751</v>
      </c>
      <c r="Q410">
        <f t="shared" si="6"/>
        <v>2031.7108433734941</v>
      </c>
    </row>
    <row r="411" spans="1:17" x14ac:dyDescent="0.3">
      <c r="A411" t="s">
        <v>422</v>
      </c>
      <c r="B411" t="s">
        <v>572</v>
      </c>
      <c r="C411">
        <v>80</v>
      </c>
      <c r="D411" t="s">
        <v>891</v>
      </c>
      <c r="E411" t="s">
        <v>893</v>
      </c>
      <c r="F411" t="s">
        <v>905</v>
      </c>
      <c r="G411" t="s">
        <v>929</v>
      </c>
      <c r="H411" t="s">
        <v>1258</v>
      </c>
      <c r="I411" t="s">
        <v>978</v>
      </c>
      <c r="J411">
        <v>3</v>
      </c>
      <c r="K411" t="s">
        <v>1597</v>
      </c>
      <c r="L411" t="s">
        <v>1725</v>
      </c>
      <c r="M411">
        <v>68546</v>
      </c>
      <c r="N411" t="s">
        <v>1751</v>
      </c>
      <c r="O411" t="s">
        <v>1752</v>
      </c>
      <c r="P411" t="s">
        <v>1751</v>
      </c>
      <c r="Q411">
        <f t="shared" si="6"/>
        <v>825.85542168674704</v>
      </c>
    </row>
    <row r="412" spans="1:17" x14ac:dyDescent="0.3">
      <c r="A412" t="s">
        <v>423</v>
      </c>
      <c r="B412" t="s">
        <v>834</v>
      </c>
      <c r="C412">
        <v>22</v>
      </c>
      <c r="D412" t="s">
        <v>892</v>
      </c>
      <c r="E412" t="s">
        <v>893</v>
      </c>
      <c r="F412" t="s">
        <v>906</v>
      </c>
      <c r="G412" t="s">
        <v>927</v>
      </c>
      <c r="H412" t="s">
        <v>1214</v>
      </c>
      <c r="I412" t="s">
        <v>1365</v>
      </c>
      <c r="J412">
        <v>1</v>
      </c>
      <c r="K412" t="s">
        <v>1521</v>
      </c>
      <c r="L412" t="s">
        <v>1730</v>
      </c>
      <c r="M412">
        <v>29677</v>
      </c>
      <c r="N412" t="s">
        <v>1750</v>
      </c>
      <c r="O412" t="s">
        <v>1754</v>
      </c>
      <c r="P412" t="s">
        <v>1751</v>
      </c>
      <c r="Q412">
        <f t="shared" si="6"/>
        <v>357.5542168674699</v>
      </c>
    </row>
    <row r="413" spans="1:17" x14ac:dyDescent="0.3">
      <c r="A413" t="s">
        <v>424</v>
      </c>
      <c r="B413" t="s">
        <v>835</v>
      </c>
      <c r="C413">
        <v>19</v>
      </c>
      <c r="D413" t="s">
        <v>892</v>
      </c>
      <c r="E413" t="s">
        <v>898</v>
      </c>
      <c r="F413" t="s">
        <v>904</v>
      </c>
      <c r="G413" t="s">
        <v>934</v>
      </c>
      <c r="H413" t="s">
        <v>971</v>
      </c>
      <c r="I413" t="s">
        <v>1128</v>
      </c>
      <c r="J413">
        <v>7</v>
      </c>
      <c r="K413" t="s">
        <v>1586</v>
      </c>
      <c r="L413" t="s">
        <v>1724</v>
      </c>
      <c r="M413">
        <v>327194</v>
      </c>
      <c r="N413" t="s">
        <v>1750</v>
      </c>
      <c r="O413" t="s">
        <v>1753</v>
      </c>
      <c r="P413" t="s">
        <v>1751</v>
      </c>
      <c r="Q413">
        <f t="shared" si="6"/>
        <v>3942.0963855421687</v>
      </c>
    </row>
    <row r="414" spans="1:17" x14ac:dyDescent="0.3">
      <c r="A414" t="s">
        <v>425</v>
      </c>
      <c r="B414" t="s">
        <v>836</v>
      </c>
      <c r="C414">
        <v>63</v>
      </c>
      <c r="D414" t="s">
        <v>891</v>
      </c>
      <c r="E414" t="s">
        <v>897</v>
      </c>
      <c r="F414" t="s">
        <v>902</v>
      </c>
      <c r="G414" t="s">
        <v>911</v>
      </c>
      <c r="H414" t="s">
        <v>998</v>
      </c>
      <c r="I414" t="s">
        <v>1063</v>
      </c>
      <c r="J414">
        <v>1</v>
      </c>
      <c r="K414" t="s">
        <v>1704</v>
      </c>
      <c r="L414" t="s">
        <v>1722</v>
      </c>
      <c r="M414">
        <v>14741</v>
      </c>
      <c r="N414" t="s">
        <v>1751</v>
      </c>
      <c r="O414" t="s">
        <v>1754</v>
      </c>
      <c r="P414" t="s">
        <v>1751</v>
      </c>
      <c r="Q414">
        <f t="shared" si="6"/>
        <v>177.60240963855421</v>
      </c>
    </row>
    <row r="415" spans="1:17" x14ac:dyDescent="0.3">
      <c r="A415" t="s">
        <v>426</v>
      </c>
      <c r="B415" t="s">
        <v>837</v>
      </c>
      <c r="C415">
        <v>46</v>
      </c>
      <c r="D415" t="s">
        <v>891</v>
      </c>
      <c r="E415" t="s">
        <v>898</v>
      </c>
      <c r="F415" t="s">
        <v>907</v>
      </c>
      <c r="G415" t="s">
        <v>916</v>
      </c>
      <c r="H415" t="s">
        <v>1259</v>
      </c>
      <c r="I415" t="s">
        <v>1296</v>
      </c>
      <c r="J415">
        <v>3</v>
      </c>
      <c r="K415" t="s">
        <v>1499</v>
      </c>
      <c r="L415" t="s">
        <v>1749</v>
      </c>
      <c r="M415">
        <v>136087</v>
      </c>
      <c r="N415" t="s">
        <v>1751</v>
      </c>
      <c r="O415" t="s">
        <v>1755</v>
      </c>
      <c r="P415" t="s">
        <v>1750</v>
      </c>
      <c r="Q415">
        <f t="shared" si="6"/>
        <v>1639.6024096385543</v>
      </c>
    </row>
    <row r="416" spans="1:17" x14ac:dyDescent="0.3">
      <c r="A416" t="s">
        <v>427</v>
      </c>
      <c r="B416" t="s">
        <v>838</v>
      </c>
      <c r="C416">
        <v>64</v>
      </c>
      <c r="D416" t="s">
        <v>891</v>
      </c>
      <c r="E416" t="s">
        <v>893</v>
      </c>
      <c r="F416" t="s">
        <v>905</v>
      </c>
      <c r="G416" t="s">
        <v>914</v>
      </c>
      <c r="H416" t="s">
        <v>1124</v>
      </c>
      <c r="I416" t="s">
        <v>1412</v>
      </c>
      <c r="J416">
        <v>20</v>
      </c>
      <c r="K416" t="s">
        <v>1625</v>
      </c>
      <c r="L416" t="s">
        <v>1740</v>
      </c>
      <c r="M416">
        <v>644022</v>
      </c>
      <c r="N416" t="s">
        <v>1750</v>
      </c>
      <c r="O416" t="s">
        <v>1756</v>
      </c>
      <c r="P416" t="s">
        <v>1751</v>
      </c>
      <c r="Q416">
        <f t="shared" si="6"/>
        <v>7759.3012048192768</v>
      </c>
    </row>
    <row r="417" spans="1:17" x14ac:dyDescent="0.3">
      <c r="A417" t="s">
        <v>428</v>
      </c>
      <c r="B417" t="s">
        <v>839</v>
      </c>
      <c r="C417">
        <v>81</v>
      </c>
      <c r="D417" t="s">
        <v>892</v>
      </c>
      <c r="E417" t="s">
        <v>898</v>
      </c>
      <c r="F417" t="s">
        <v>907</v>
      </c>
      <c r="G417" t="s">
        <v>945</v>
      </c>
      <c r="H417" t="s">
        <v>1082</v>
      </c>
      <c r="I417" t="s">
        <v>1109</v>
      </c>
      <c r="J417">
        <v>30</v>
      </c>
      <c r="K417" t="s">
        <v>1589</v>
      </c>
      <c r="L417" t="s">
        <v>1743</v>
      </c>
      <c r="M417">
        <v>467445</v>
      </c>
      <c r="N417" t="s">
        <v>1750</v>
      </c>
      <c r="O417" t="s">
        <v>1754</v>
      </c>
      <c r="P417" t="s">
        <v>1751</v>
      </c>
      <c r="Q417">
        <f t="shared" si="6"/>
        <v>5631.8674698795185</v>
      </c>
    </row>
    <row r="418" spans="1:17" x14ac:dyDescent="0.3">
      <c r="A418" t="s">
        <v>429</v>
      </c>
      <c r="B418" t="s">
        <v>840</v>
      </c>
      <c r="C418">
        <v>18</v>
      </c>
      <c r="D418" t="s">
        <v>892</v>
      </c>
      <c r="E418" t="s">
        <v>893</v>
      </c>
      <c r="F418" t="s">
        <v>905</v>
      </c>
      <c r="G418" t="s">
        <v>929</v>
      </c>
      <c r="H418" t="s">
        <v>1260</v>
      </c>
      <c r="I418" t="s">
        <v>961</v>
      </c>
      <c r="J418">
        <v>5</v>
      </c>
      <c r="K418" t="s">
        <v>1614</v>
      </c>
      <c r="L418" t="s">
        <v>1729</v>
      </c>
      <c r="M418">
        <v>30857</v>
      </c>
      <c r="N418" t="s">
        <v>1750</v>
      </c>
      <c r="O418" t="s">
        <v>1755</v>
      </c>
      <c r="P418" t="s">
        <v>1751</v>
      </c>
      <c r="Q418">
        <f t="shared" si="6"/>
        <v>371.77108433734941</v>
      </c>
    </row>
    <row r="419" spans="1:17" x14ac:dyDescent="0.3">
      <c r="A419" t="s">
        <v>430</v>
      </c>
      <c r="B419" t="s">
        <v>841</v>
      </c>
      <c r="C419">
        <v>74</v>
      </c>
      <c r="D419" t="s">
        <v>892</v>
      </c>
      <c r="E419" t="s">
        <v>897</v>
      </c>
      <c r="F419" t="s">
        <v>909</v>
      </c>
      <c r="G419" t="s">
        <v>935</v>
      </c>
      <c r="H419" t="s">
        <v>1065</v>
      </c>
      <c r="I419" t="s">
        <v>1179</v>
      </c>
      <c r="J419">
        <v>1</v>
      </c>
      <c r="K419" t="s">
        <v>1707</v>
      </c>
      <c r="L419" t="s">
        <v>1732</v>
      </c>
      <c r="M419">
        <v>5430</v>
      </c>
      <c r="N419" t="s">
        <v>1750</v>
      </c>
      <c r="O419" t="s">
        <v>1756</v>
      </c>
      <c r="P419" t="s">
        <v>1751</v>
      </c>
      <c r="Q419">
        <f t="shared" si="6"/>
        <v>65.421686746987959</v>
      </c>
    </row>
    <row r="420" spans="1:17" x14ac:dyDescent="0.3">
      <c r="A420" t="s">
        <v>431</v>
      </c>
      <c r="B420" t="s">
        <v>842</v>
      </c>
      <c r="C420">
        <v>57</v>
      </c>
      <c r="D420" t="s">
        <v>891</v>
      </c>
      <c r="E420" t="s">
        <v>893</v>
      </c>
      <c r="F420" t="s">
        <v>908</v>
      </c>
      <c r="G420" t="s">
        <v>947</v>
      </c>
      <c r="H420" t="s">
        <v>1261</v>
      </c>
      <c r="I420" t="s">
        <v>1466</v>
      </c>
      <c r="J420">
        <v>3</v>
      </c>
      <c r="K420" t="s">
        <v>1505</v>
      </c>
      <c r="L420" t="s">
        <v>1728</v>
      </c>
      <c r="M420">
        <v>38501</v>
      </c>
      <c r="N420" t="s">
        <v>1751</v>
      </c>
      <c r="O420" t="s">
        <v>1753</v>
      </c>
      <c r="P420" t="s">
        <v>1751</v>
      </c>
      <c r="Q420">
        <f t="shared" si="6"/>
        <v>463.86746987951807</v>
      </c>
    </row>
    <row r="421" spans="1:17" x14ac:dyDescent="0.3">
      <c r="A421" t="s">
        <v>432</v>
      </c>
      <c r="B421" t="s">
        <v>843</v>
      </c>
      <c r="C421">
        <v>71</v>
      </c>
      <c r="D421" t="s">
        <v>891</v>
      </c>
      <c r="E421" t="s">
        <v>893</v>
      </c>
      <c r="F421" t="s">
        <v>908</v>
      </c>
      <c r="G421" t="s">
        <v>928</v>
      </c>
      <c r="H421" t="s">
        <v>993</v>
      </c>
      <c r="I421" t="s">
        <v>954</v>
      </c>
      <c r="J421">
        <v>2</v>
      </c>
      <c r="K421" t="s">
        <v>1655</v>
      </c>
      <c r="L421" t="s">
        <v>1728</v>
      </c>
      <c r="M421">
        <v>51006</v>
      </c>
      <c r="N421" t="s">
        <v>1751</v>
      </c>
      <c r="O421" t="s">
        <v>1753</v>
      </c>
      <c r="P421" t="s">
        <v>1751</v>
      </c>
      <c r="Q421">
        <f t="shared" si="6"/>
        <v>614.53012048192772</v>
      </c>
    </row>
    <row r="422" spans="1:17" x14ac:dyDescent="0.3">
      <c r="A422" t="s">
        <v>433</v>
      </c>
      <c r="B422" t="s">
        <v>605</v>
      </c>
      <c r="C422">
        <v>44</v>
      </c>
      <c r="D422" t="s">
        <v>892</v>
      </c>
      <c r="E422" t="s">
        <v>898</v>
      </c>
      <c r="F422" t="s">
        <v>904</v>
      </c>
      <c r="G422" t="s">
        <v>913</v>
      </c>
      <c r="H422" t="s">
        <v>1262</v>
      </c>
      <c r="I422" t="s">
        <v>1073</v>
      </c>
      <c r="J422">
        <v>1</v>
      </c>
      <c r="K422" t="s">
        <v>1595</v>
      </c>
      <c r="L422" t="s">
        <v>1742</v>
      </c>
      <c r="M422">
        <v>33921</v>
      </c>
      <c r="N422" t="s">
        <v>1750</v>
      </c>
      <c r="O422" t="s">
        <v>1754</v>
      </c>
      <c r="P422" t="s">
        <v>1751</v>
      </c>
      <c r="Q422">
        <f t="shared" si="6"/>
        <v>408.68674698795184</v>
      </c>
    </row>
    <row r="423" spans="1:17" x14ac:dyDescent="0.3">
      <c r="A423" t="s">
        <v>434</v>
      </c>
      <c r="B423" t="s">
        <v>844</v>
      </c>
      <c r="C423">
        <v>3</v>
      </c>
      <c r="D423" t="s">
        <v>892</v>
      </c>
      <c r="E423" t="s">
        <v>894</v>
      </c>
      <c r="F423" t="s">
        <v>901</v>
      </c>
      <c r="G423" t="s">
        <v>924</v>
      </c>
      <c r="H423" t="s">
        <v>1165</v>
      </c>
      <c r="I423" t="s">
        <v>1020</v>
      </c>
      <c r="J423">
        <v>3</v>
      </c>
      <c r="K423" t="s">
        <v>1493</v>
      </c>
      <c r="L423" t="s">
        <v>1721</v>
      </c>
      <c r="M423">
        <v>148365</v>
      </c>
      <c r="N423" t="s">
        <v>1750</v>
      </c>
      <c r="O423" t="s">
        <v>1754</v>
      </c>
      <c r="P423" t="s">
        <v>1751</v>
      </c>
      <c r="Q423">
        <f t="shared" si="6"/>
        <v>1787.5301204819277</v>
      </c>
    </row>
    <row r="424" spans="1:17" x14ac:dyDescent="0.3">
      <c r="A424" t="s">
        <v>435</v>
      </c>
      <c r="B424" t="s">
        <v>688</v>
      </c>
      <c r="C424">
        <v>68</v>
      </c>
      <c r="D424" t="s">
        <v>892</v>
      </c>
      <c r="E424" t="s">
        <v>897</v>
      </c>
      <c r="F424" t="s">
        <v>907</v>
      </c>
      <c r="G424" t="s">
        <v>952</v>
      </c>
      <c r="H424" t="s">
        <v>1263</v>
      </c>
      <c r="I424" t="s">
        <v>1021</v>
      </c>
      <c r="J424">
        <v>13</v>
      </c>
      <c r="K424" t="s">
        <v>1632</v>
      </c>
      <c r="L424" t="s">
        <v>1743</v>
      </c>
      <c r="M424">
        <v>192409</v>
      </c>
      <c r="N424" t="s">
        <v>1750</v>
      </c>
      <c r="O424" t="s">
        <v>1755</v>
      </c>
      <c r="P424" t="s">
        <v>1751</v>
      </c>
      <c r="Q424">
        <f t="shared" si="6"/>
        <v>2318.1807228915663</v>
      </c>
    </row>
    <row r="425" spans="1:17" x14ac:dyDescent="0.3">
      <c r="A425" t="s">
        <v>436</v>
      </c>
      <c r="B425" t="s">
        <v>845</v>
      </c>
      <c r="C425">
        <v>0</v>
      </c>
      <c r="D425" t="s">
        <v>892</v>
      </c>
      <c r="E425" t="s">
        <v>893</v>
      </c>
      <c r="F425" t="s">
        <v>901</v>
      </c>
      <c r="G425" t="s">
        <v>942</v>
      </c>
      <c r="H425" t="s">
        <v>1098</v>
      </c>
      <c r="I425" t="s">
        <v>1467</v>
      </c>
      <c r="J425">
        <v>4</v>
      </c>
      <c r="K425" t="s">
        <v>1630</v>
      </c>
      <c r="L425" t="s">
        <v>1721</v>
      </c>
      <c r="M425">
        <v>107910</v>
      </c>
      <c r="N425" t="s">
        <v>1750</v>
      </c>
      <c r="O425" t="s">
        <v>1754</v>
      </c>
      <c r="P425" t="s">
        <v>1751</v>
      </c>
      <c r="Q425">
        <f t="shared" si="6"/>
        <v>1300.1204819277109</v>
      </c>
    </row>
    <row r="426" spans="1:17" x14ac:dyDescent="0.3">
      <c r="A426" t="s">
        <v>437</v>
      </c>
      <c r="B426" t="s">
        <v>764</v>
      </c>
      <c r="C426">
        <v>78</v>
      </c>
      <c r="D426" t="s">
        <v>892</v>
      </c>
      <c r="E426" t="s">
        <v>893</v>
      </c>
      <c r="F426" t="s">
        <v>907</v>
      </c>
      <c r="G426" t="s">
        <v>952</v>
      </c>
      <c r="H426" t="s">
        <v>1264</v>
      </c>
      <c r="I426" t="s">
        <v>1379</v>
      </c>
      <c r="J426">
        <v>15</v>
      </c>
      <c r="K426" t="s">
        <v>1678</v>
      </c>
      <c r="L426" t="s">
        <v>1743</v>
      </c>
      <c r="M426">
        <v>623802</v>
      </c>
      <c r="N426" t="s">
        <v>1750</v>
      </c>
      <c r="O426" t="s">
        <v>1753</v>
      </c>
      <c r="P426" t="s">
        <v>1750</v>
      </c>
      <c r="Q426">
        <f t="shared" si="6"/>
        <v>7515.6867469879517</v>
      </c>
    </row>
    <row r="427" spans="1:17" x14ac:dyDescent="0.3">
      <c r="A427" t="s">
        <v>438</v>
      </c>
      <c r="B427" t="s">
        <v>846</v>
      </c>
      <c r="C427">
        <v>73</v>
      </c>
      <c r="D427" t="s">
        <v>892</v>
      </c>
      <c r="E427" t="s">
        <v>893</v>
      </c>
      <c r="F427" t="s">
        <v>907</v>
      </c>
      <c r="G427" t="s">
        <v>931</v>
      </c>
      <c r="H427" t="s">
        <v>1265</v>
      </c>
      <c r="I427" t="s">
        <v>1463</v>
      </c>
      <c r="J427">
        <v>1</v>
      </c>
      <c r="K427" t="s">
        <v>1699</v>
      </c>
      <c r="L427" t="s">
        <v>1749</v>
      </c>
      <c r="M427">
        <v>45979</v>
      </c>
      <c r="N427" t="s">
        <v>1750</v>
      </c>
      <c r="O427" t="s">
        <v>1754</v>
      </c>
      <c r="P427" t="s">
        <v>1751</v>
      </c>
      <c r="Q427">
        <f t="shared" si="6"/>
        <v>553.96385542168673</v>
      </c>
    </row>
    <row r="428" spans="1:17" x14ac:dyDescent="0.3">
      <c r="A428" t="s">
        <v>439</v>
      </c>
      <c r="B428" t="s">
        <v>740</v>
      </c>
      <c r="C428">
        <v>45</v>
      </c>
      <c r="D428" t="s">
        <v>892</v>
      </c>
      <c r="E428" t="s">
        <v>893</v>
      </c>
      <c r="F428" t="s">
        <v>902</v>
      </c>
      <c r="G428" t="s">
        <v>949</v>
      </c>
      <c r="H428" t="s">
        <v>1266</v>
      </c>
      <c r="I428" t="s">
        <v>1375</v>
      </c>
      <c r="J428">
        <v>3</v>
      </c>
      <c r="K428" t="s">
        <v>1494</v>
      </c>
      <c r="L428" t="s">
        <v>1746</v>
      </c>
      <c r="M428">
        <v>170917</v>
      </c>
      <c r="N428" t="s">
        <v>1750</v>
      </c>
      <c r="O428" t="s">
        <v>1752</v>
      </c>
      <c r="P428" t="s">
        <v>1751</v>
      </c>
      <c r="Q428">
        <f t="shared" si="6"/>
        <v>2059.2409638554218</v>
      </c>
    </row>
    <row r="429" spans="1:17" x14ac:dyDescent="0.3">
      <c r="A429" t="s">
        <v>440</v>
      </c>
      <c r="B429" t="s">
        <v>847</v>
      </c>
      <c r="C429">
        <v>44</v>
      </c>
      <c r="D429" t="s">
        <v>892</v>
      </c>
      <c r="E429" t="s">
        <v>893</v>
      </c>
      <c r="F429" t="s">
        <v>906</v>
      </c>
      <c r="G429" t="s">
        <v>927</v>
      </c>
      <c r="H429" t="s">
        <v>1222</v>
      </c>
      <c r="I429" t="s">
        <v>1443</v>
      </c>
      <c r="J429">
        <v>1</v>
      </c>
      <c r="K429" t="s">
        <v>1666</v>
      </c>
      <c r="L429" t="s">
        <v>1726</v>
      </c>
      <c r="M429">
        <v>24538</v>
      </c>
      <c r="N429" t="s">
        <v>1750</v>
      </c>
      <c r="O429" t="s">
        <v>1754</v>
      </c>
      <c r="P429" t="s">
        <v>1751</v>
      </c>
      <c r="Q429">
        <f t="shared" si="6"/>
        <v>295.63855421686748</v>
      </c>
    </row>
    <row r="430" spans="1:17" x14ac:dyDescent="0.3">
      <c r="A430" t="s">
        <v>441</v>
      </c>
      <c r="B430" t="s">
        <v>848</v>
      </c>
      <c r="C430">
        <v>21</v>
      </c>
      <c r="D430" t="s">
        <v>892</v>
      </c>
      <c r="E430" t="s">
        <v>897</v>
      </c>
      <c r="F430" t="s">
        <v>904</v>
      </c>
      <c r="G430" t="s">
        <v>946</v>
      </c>
      <c r="H430" t="s">
        <v>1267</v>
      </c>
      <c r="I430" t="s">
        <v>1269</v>
      </c>
      <c r="J430">
        <v>2</v>
      </c>
      <c r="K430" t="s">
        <v>1538</v>
      </c>
      <c r="L430" t="s">
        <v>1724</v>
      </c>
      <c r="M430">
        <v>71629</v>
      </c>
      <c r="N430" t="s">
        <v>1751</v>
      </c>
      <c r="O430" t="s">
        <v>1753</v>
      </c>
      <c r="P430" t="s">
        <v>1751</v>
      </c>
      <c r="Q430">
        <f t="shared" si="6"/>
        <v>863</v>
      </c>
    </row>
    <row r="431" spans="1:17" x14ac:dyDescent="0.3">
      <c r="A431" t="s">
        <v>442</v>
      </c>
      <c r="B431" t="s">
        <v>770</v>
      </c>
      <c r="C431">
        <v>40</v>
      </c>
      <c r="D431" t="s">
        <v>891</v>
      </c>
      <c r="E431" t="s">
        <v>893</v>
      </c>
      <c r="F431" t="s">
        <v>903</v>
      </c>
      <c r="G431" t="s">
        <v>912</v>
      </c>
      <c r="H431" t="s">
        <v>1268</v>
      </c>
      <c r="I431" t="s">
        <v>1468</v>
      </c>
      <c r="J431">
        <v>2</v>
      </c>
      <c r="K431" t="s">
        <v>1642</v>
      </c>
      <c r="L431" t="s">
        <v>1748</v>
      </c>
      <c r="M431">
        <v>9950</v>
      </c>
      <c r="N431" t="s">
        <v>1751</v>
      </c>
      <c r="O431" t="s">
        <v>1754</v>
      </c>
      <c r="P431" t="s">
        <v>1751</v>
      </c>
      <c r="Q431">
        <f t="shared" si="6"/>
        <v>119.87951807228916</v>
      </c>
    </row>
    <row r="432" spans="1:17" x14ac:dyDescent="0.3">
      <c r="A432" t="s">
        <v>443</v>
      </c>
      <c r="B432" t="s">
        <v>849</v>
      </c>
      <c r="C432">
        <v>16</v>
      </c>
      <c r="D432" t="s">
        <v>892</v>
      </c>
      <c r="E432" t="s">
        <v>895</v>
      </c>
      <c r="F432" t="s">
        <v>901</v>
      </c>
      <c r="G432" t="s">
        <v>942</v>
      </c>
      <c r="H432" t="s">
        <v>1269</v>
      </c>
      <c r="I432" t="s">
        <v>1469</v>
      </c>
      <c r="J432">
        <v>6</v>
      </c>
      <c r="K432" t="s">
        <v>1654</v>
      </c>
      <c r="L432" t="s">
        <v>1733</v>
      </c>
      <c r="M432">
        <v>125808</v>
      </c>
      <c r="N432" t="s">
        <v>1750</v>
      </c>
      <c r="O432" t="s">
        <v>1754</v>
      </c>
      <c r="P432" t="s">
        <v>1751</v>
      </c>
      <c r="Q432">
        <f t="shared" si="6"/>
        <v>1515.7590361445782</v>
      </c>
    </row>
    <row r="433" spans="1:17" x14ac:dyDescent="0.3">
      <c r="A433" t="s">
        <v>444</v>
      </c>
      <c r="B433" t="s">
        <v>747</v>
      </c>
      <c r="C433">
        <v>18</v>
      </c>
      <c r="D433" t="s">
        <v>891</v>
      </c>
      <c r="E433" t="s">
        <v>894</v>
      </c>
      <c r="F433" t="s">
        <v>909</v>
      </c>
      <c r="G433" t="s">
        <v>935</v>
      </c>
      <c r="H433" t="s">
        <v>1270</v>
      </c>
      <c r="I433" t="s">
        <v>1458</v>
      </c>
      <c r="J433">
        <v>1</v>
      </c>
      <c r="K433" t="s">
        <v>1696</v>
      </c>
      <c r="L433" t="s">
        <v>1731</v>
      </c>
      <c r="M433">
        <v>10706</v>
      </c>
      <c r="N433" t="s">
        <v>1750</v>
      </c>
      <c r="O433" t="s">
        <v>1754</v>
      </c>
      <c r="P433" t="s">
        <v>1751</v>
      </c>
      <c r="Q433">
        <f t="shared" si="6"/>
        <v>128.98795180722891</v>
      </c>
    </row>
    <row r="434" spans="1:17" x14ac:dyDescent="0.3">
      <c r="A434" t="s">
        <v>445</v>
      </c>
      <c r="B434" t="s">
        <v>850</v>
      </c>
      <c r="C434">
        <v>43</v>
      </c>
      <c r="D434" t="s">
        <v>892</v>
      </c>
      <c r="E434" t="s">
        <v>898</v>
      </c>
      <c r="F434" t="s">
        <v>903</v>
      </c>
      <c r="G434" t="s">
        <v>912</v>
      </c>
      <c r="H434" t="s">
        <v>1271</v>
      </c>
      <c r="I434" t="s">
        <v>1470</v>
      </c>
      <c r="J434">
        <v>1</v>
      </c>
      <c r="K434" t="s">
        <v>1511</v>
      </c>
      <c r="L434" t="s">
        <v>1748</v>
      </c>
      <c r="M434">
        <v>12815</v>
      </c>
      <c r="N434" t="s">
        <v>1750</v>
      </c>
      <c r="O434" t="s">
        <v>1755</v>
      </c>
      <c r="P434" t="s">
        <v>1751</v>
      </c>
      <c r="Q434">
        <f t="shared" si="6"/>
        <v>154.39759036144579</v>
      </c>
    </row>
    <row r="435" spans="1:17" x14ac:dyDescent="0.3">
      <c r="A435" t="s">
        <v>446</v>
      </c>
      <c r="B435" t="s">
        <v>851</v>
      </c>
      <c r="C435">
        <v>65</v>
      </c>
      <c r="D435" t="s">
        <v>891</v>
      </c>
      <c r="E435" t="s">
        <v>894</v>
      </c>
      <c r="F435" t="s">
        <v>902</v>
      </c>
      <c r="G435" t="s">
        <v>911</v>
      </c>
      <c r="H435" t="s">
        <v>1272</v>
      </c>
      <c r="I435" t="s">
        <v>1370</v>
      </c>
      <c r="J435">
        <v>1</v>
      </c>
      <c r="K435" t="s">
        <v>1494</v>
      </c>
      <c r="L435" t="s">
        <v>1744</v>
      </c>
      <c r="M435">
        <v>28366</v>
      </c>
      <c r="N435" t="s">
        <v>1750</v>
      </c>
      <c r="O435" t="s">
        <v>1753</v>
      </c>
      <c r="P435" t="s">
        <v>1750</v>
      </c>
      <c r="Q435">
        <f t="shared" si="6"/>
        <v>341.75903614457832</v>
      </c>
    </row>
    <row r="436" spans="1:17" x14ac:dyDescent="0.3">
      <c r="A436" t="s">
        <v>447</v>
      </c>
      <c r="B436" t="s">
        <v>689</v>
      </c>
      <c r="C436">
        <v>69</v>
      </c>
      <c r="D436" t="s">
        <v>892</v>
      </c>
      <c r="E436" t="s">
        <v>900</v>
      </c>
      <c r="F436" t="s">
        <v>908</v>
      </c>
      <c r="G436" t="s">
        <v>947</v>
      </c>
      <c r="H436" t="s">
        <v>1273</v>
      </c>
      <c r="I436" t="s">
        <v>1147</v>
      </c>
      <c r="J436">
        <v>8</v>
      </c>
      <c r="K436" t="s">
        <v>1708</v>
      </c>
      <c r="L436" t="s">
        <v>1735</v>
      </c>
      <c r="M436">
        <v>390132</v>
      </c>
      <c r="N436" t="s">
        <v>1750</v>
      </c>
      <c r="O436" t="s">
        <v>1754</v>
      </c>
      <c r="P436" t="s">
        <v>1751</v>
      </c>
      <c r="Q436">
        <f t="shared" si="6"/>
        <v>4700.3855421686749</v>
      </c>
    </row>
    <row r="437" spans="1:17" x14ac:dyDescent="0.3">
      <c r="A437" t="s">
        <v>448</v>
      </c>
      <c r="B437" t="s">
        <v>544</v>
      </c>
      <c r="C437">
        <v>40</v>
      </c>
      <c r="D437" t="s">
        <v>891</v>
      </c>
      <c r="E437" t="s">
        <v>894</v>
      </c>
      <c r="F437" t="s">
        <v>905</v>
      </c>
      <c r="G437" t="s">
        <v>914</v>
      </c>
      <c r="H437" t="s">
        <v>1274</v>
      </c>
      <c r="I437" t="s">
        <v>1372</v>
      </c>
      <c r="J437">
        <v>6</v>
      </c>
      <c r="K437" t="s">
        <v>1515</v>
      </c>
      <c r="L437" t="s">
        <v>1725</v>
      </c>
      <c r="M437">
        <v>172768</v>
      </c>
      <c r="N437" t="s">
        <v>1750</v>
      </c>
      <c r="O437" t="s">
        <v>1753</v>
      </c>
      <c r="P437" t="s">
        <v>1751</v>
      </c>
      <c r="Q437">
        <f t="shared" si="6"/>
        <v>2081.5421686746986</v>
      </c>
    </row>
    <row r="438" spans="1:17" x14ac:dyDescent="0.3">
      <c r="A438" t="s">
        <v>449</v>
      </c>
      <c r="B438" t="s">
        <v>615</v>
      </c>
      <c r="C438">
        <v>63</v>
      </c>
      <c r="D438" t="s">
        <v>891</v>
      </c>
      <c r="E438" t="s">
        <v>894</v>
      </c>
      <c r="F438" t="s">
        <v>908</v>
      </c>
      <c r="G438" t="s">
        <v>947</v>
      </c>
      <c r="H438" t="s">
        <v>1275</v>
      </c>
      <c r="I438" t="s">
        <v>1013</v>
      </c>
      <c r="J438">
        <v>1</v>
      </c>
      <c r="K438" t="s">
        <v>1561</v>
      </c>
      <c r="L438" t="s">
        <v>1728</v>
      </c>
      <c r="M438">
        <v>50666</v>
      </c>
      <c r="N438" t="s">
        <v>1750</v>
      </c>
      <c r="O438" t="s">
        <v>1754</v>
      </c>
      <c r="P438" t="s">
        <v>1751</v>
      </c>
      <c r="Q438">
        <f t="shared" si="6"/>
        <v>610.43373493975901</v>
      </c>
    </row>
    <row r="439" spans="1:17" x14ac:dyDescent="0.3">
      <c r="A439" t="s">
        <v>450</v>
      </c>
      <c r="B439" t="s">
        <v>852</v>
      </c>
      <c r="C439">
        <v>62</v>
      </c>
      <c r="D439" t="s">
        <v>892</v>
      </c>
      <c r="E439" t="s">
        <v>893</v>
      </c>
      <c r="F439" t="s">
        <v>908</v>
      </c>
      <c r="G439" t="s">
        <v>928</v>
      </c>
      <c r="H439" t="s">
        <v>1157</v>
      </c>
      <c r="I439" t="s">
        <v>1471</v>
      </c>
      <c r="J439">
        <v>1</v>
      </c>
      <c r="K439" t="s">
        <v>1709</v>
      </c>
      <c r="L439" t="s">
        <v>1735</v>
      </c>
      <c r="M439">
        <v>51535</v>
      </c>
      <c r="N439" t="s">
        <v>1750</v>
      </c>
      <c r="O439" t="s">
        <v>1755</v>
      </c>
      <c r="P439" t="s">
        <v>1751</v>
      </c>
      <c r="Q439">
        <f t="shared" si="6"/>
        <v>620.90361445783128</v>
      </c>
    </row>
    <row r="440" spans="1:17" x14ac:dyDescent="0.3">
      <c r="A440" t="s">
        <v>451</v>
      </c>
      <c r="B440" t="s">
        <v>853</v>
      </c>
      <c r="C440">
        <v>60</v>
      </c>
      <c r="D440" t="s">
        <v>892</v>
      </c>
      <c r="E440" t="s">
        <v>897</v>
      </c>
      <c r="F440" t="s">
        <v>908</v>
      </c>
      <c r="G440" t="s">
        <v>936</v>
      </c>
      <c r="H440" t="s">
        <v>1276</v>
      </c>
      <c r="I440" t="s">
        <v>1468</v>
      </c>
      <c r="J440">
        <v>7</v>
      </c>
      <c r="K440" t="s">
        <v>1594</v>
      </c>
      <c r="L440" t="s">
        <v>1737</v>
      </c>
      <c r="M440">
        <v>113381</v>
      </c>
      <c r="N440" t="s">
        <v>1751</v>
      </c>
      <c r="O440" t="s">
        <v>1756</v>
      </c>
      <c r="P440" t="s">
        <v>1751</v>
      </c>
      <c r="Q440">
        <f t="shared" si="6"/>
        <v>1366.0361445783133</v>
      </c>
    </row>
    <row r="441" spans="1:17" x14ac:dyDescent="0.3">
      <c r="A441" t="s">
        <v>452</v>
      </c>
      <c r="B441" t="s">
        <v>854</v>
      </c>
      <c r="C441">
        <v>67</v>
      </c>
      <c r="D441" t="s">
        <v>891</v>
      </c>
      <c r="E441" t="s">
        <v>897</v>
      </c>
      <c r="F441" t="s">
        <v>906</v>
      </c>
      <c r="G441" t="s">
        <v>915</v>
      </c>
      <c r="H441" t="s">
        <v>1277</v>
      </c>
      <c r="I441" t="s">
        <v>1354</v>
      </c>
      <c r="J441">
        <v>1</v>
      </c>
      <c r="K441" t="s">
        <v>1666</v>
      </c>
      <c r="L441" t="s">
        <v>1739</v>
      </c>
      <c r="M441">
        <v>16917</v>
      </c>
      <c r="N441" t="s">
        <v>1751</v>
      </c>
      <c r="O441" t="s">
        <v>1752</v>
      </c>
      <c r="P441" t="s">
        <v>1751</v>
      </c>
      <c r="Q441">
        <f t="shared" si="6"/>
        <v>203.81927710843374</v>
      </c>
    </row>
    <row r="442" spans="1:17" x14ac:dyDescent="0.3">
      <c r="A442" t="s">
        <v>453</v>
      </c>
      <c r="B442" t="s">
        <v>855</v>
      </c>
      <c r="C442">
        <v>85</v>
      </c>
      <c r="D442" t="s">
        <v>892</v>
      </c>
      <c r="E442" t="s">
        <v>893</v>
      </c>
      <c r="F442" t="s">
        <v>908</v>
      </c>
      <c r="G442" t="s">
        <v>947</v>
      </c>
      <c r="H442" t="s">
        <v>1226</v>
      </c>
      <c r="I442" t="s">
        <v>973</v>
      </c>
      <c r="J442">
        <v>10</v>
      </c>
      <c r="K442" t="s">
        <v>1640</v>
      </c>
      <c r="L442" t="s">
        <v>1728</v>
      </c>
      <c r="M442">
        <v>525223</v>
      </c>
      <c r="N442" t="s">
        <v>1750</v>
      </c>
      <c r="O442" t="s">
        <v>1755</v>
      </c>
      <c r="P442" t="s">
        <v>1751</v>
      </c>
      <c r="Q442">
        <f t="shared" si="6"/>
        <v>6327.9879518072294</v>
      </c>
    </row>
    <row r="443" spans="1:17" x14ac:dyDescent="0.3">
      <c r="A443" t="s">
        <v>454</v>
      </c>
      <c r="B443" t="s">
        <v>856</v>
      </c>
      <c r="C443">
        <v>21</v>
      </c>
      <c r="D443" t="s">
        <v>892</v>
      </c>
      <c r="E443" t="s">
        <v>900</v>
      </c>
      <c r="F443" t="s">
        <v>904</v>
      </c>
      <c r="G443" t="s">
        <v>913</v>
      </c>
      <c r="H443" t="s">
        <v>1278</v>
      </c>
      <c r="I443" t="s">
        <v>1258</v>
      </c>
      <c r="J443">
        <v>3</v>
      </c>
      <c r="K443" t="s">
        <v>1710</v>
      </c>
      <c r="L443" t="s">
        <v>1724</v>
      </c>
      <c r="M443">
        <v>181344</v>
      </c>
      <c r="N443" t="s">
        <v>1751</v>
      </c>
      <c r="O443" t="s">
        <v>1752</v>
      </c>
      <c r="P443" t="s">
        <v>1751</v>
      </c>
      <c r="Q443">
        <f t="shared" si="6"/>
        <v>2184.867469879518</v>
      </c>
    </row>
    <row r="444" spans="1:17" x14ac:dyDescent="0.3">
      <c r="A444" t="s">
        <v>455</v>
      </c>
      <c r="B444" t="s">
        <v>778</v>
      </c>
      <c r="C444">
        <v>78</v>
      </c>
      <c r="D444" t="s">
        <v>891</v>
      </c>
      <c r="E444" t="s">
        <v>897</v>
      </c>
      <c r="F444" t="s">
        <v>908</v>
      </c>
      <c r="G444" t="s">
        <v>936</v>
      </c>
      <c r="H444" t="s">
        <v>1279</v>
      </c>
      <c r="I444" t="s">
        <v>1466</v>
      </c>
      <c r="J444">
        <v>1</v>
      </c>
      <c r="K444" t="s">
        <v>1524</v>
      </c>
      <c r="L444" t="s">
        <v>1728</v>
      </c>
      <c r="M444">
        <v>23038</v>
      </c>
      <c r="N444" t="s">
        <v>1750</v>
      </c>
      <c r="O444" t="s">
        <v>1753</v>
      </c>
      <c r="P444" t="s">
        <v>1751</v>
      </c>
      <c r="Q444">
        <f t="shared" si="6"/>
        <v>277.56626506024094</v>
      </c>
    </row>
    <row r="445" spans="1:17" x14ac:dyDescent="0.3">
      <c r="A445" t="s">
        <v>456</v>
      </c>
      <c r="B445" t="s">
        <v>857</v>
      </c>
      <c r="C445">
        <v>73</v>
      </c>
      <c r="D445" t="s">
        <v>891</v>
      </c>
      <c r="E445" t="s">
        <v>893</v>
      </c>
      <c r="F445" t="s">
        <v>903</v>
      </c>
      <c r="G445" t="s">
        <v>951</v>
      </c>
      <c r="H445" t="s">
        <v>1280</v>
      </c>
      <c r="I445" t="s">
        <v>1472</v>
      </c>
      <c r="J445">
        <v>1</v>
      </c>
      <c r="K445" t="s">
        <v>1495</v>
      </c>
      <c r="L445" t="s">
        <v>1748</v>
      </c>
      <c r="M445">
        <v>22844</v>
      </c>
      <c r="N445" t="s">
        <v>1750</v>
      </c>
      <c r="O445" t="s">
        <v>1756</v>
      </c>
      <c r="P445" t="s">
        <v>1751</v>
      </c>
      <c r="Q445">
        <f t="shared" si="6"/>
        <v>275.22891566265059</v>
      </c>
    </row>
    <row r="446" spans="1:17" x14ac:dyDescent="0.3">
      <c r="A446" t="s">
        <v>457</v>
      </c>
      <c r="B446" t="s">
        <v>633</v>
      </c>
      <c r="C446">
        <v>63</v>
      </c>
      <c r="D446" t="s">
        <v>892</v>
      </c>
      <c r="E446" t="s">
        <v>894</v>
      </c>
      <c r="F446" t="s">
        <v>906</v>
      </c>
      <c r="G446" t="s">
        <v>919</v>
      </c>
      <c r="H446" t="s">
        <v>1281</v>
      </c>
      <c r="I446" t="s">
        <v>1357</v>
      </c>
      <c r="J446">
        <v>21</v>
      </c>
      <c r="K446" t="s">
        <v>1503</v>
      </c>
      <c r="L446" t="s">
        <v>1726</v>
      </c>
      <c r="M446">
        <v>160330</v>
      </c>
      <c r="N446" t="s">
        <v>1750</v>
      </c>
      <c r="O446" t="s">
        <v>1752</v>
      </c>
      <c r="P446" t="s">
        <v>1751</v>
      </c>
      <c r="Q446">
        <f t="shared" si="6"/>
        <v>1931.6867469879519</v>
      </c>
    </row>
    <row r="447" spans="1:17" x14ac:dyDescent="0.3">
      <c r="A447" t="s">
        <v>458</v>
      </c>
      <c r="B447" t="s">
        <v>771</v>
      </c>
      <c r="C447">
        <v>40</v>
      </c>
      <c r="D447" t="s">
        <v>892</v>
      </c>
      <c r="E447" t="s">
        <v>893</v>
      </c>
      <c r="F447" t="s">
        <v>906</v>
      </c>
      <c r="G447" t="s">
        <v>915</v>
      </c>
      <c r="H447" t="s">
        <v>1282</v>
      </c>
      <c r="I447" t="s">
        <v>1473</v>
      </c>
      <c r="J447">
        <v>2</v>
      </c>
      <c r="K447" t="s">
        <v>1517</v>
      </c>
      <c r="L447" t="s">
        <v>1730</v>
      </c>
      <c r="M447">
        <v>31736</v>
      </c>
      <c r="N447" t="s">
        <v>1750</v>
      </c>
      <c r="O447" t="s">
        <v>1753</v>
      </c>
      <c r="P447" t="s">
        <v>1751</v>
      </c>
      <c r="Q447">
        <f t="shared" si="6"/>
        <v>382.36144578313252</v>
      </c>
    </row>
    <row r="448" spans="1:17" x14ac:dyDescent="0.3">
      <c r="A448" t="s">
        <v>459</v>
      </c>
      <c r="B448" t="s">
        <v>722</v>
      </c>
      <c r="C448">
        <v>80</v>
      </c>
      <c r="D448" t="s">
        <v>891</v>
      </c>
      <c r="E448" t="s">
        <v>894</v>
      </c>
      <c r="F448" t="s">
        <v>905</v>
      </c>
      <c r="G448" t="s">
        <v>918</v>
      </c>
      <c r="H448" t="s">
        <v>1241</v>
      </c>
      <c r="I448" t="s">
        <v>1175</v>
      </c>
      <c r="J448">
        <v>3</v>
      </c>
      <c r="K448" t="s">
        <v>1537</v>
      </c>
      <c r="L448" t="s">
        <v>1729</v>
      </c>
      <c r="M448">
        <v>32396</v>
      </c>
      <c r="N448" t="s">
        <v>1750</v>
      </c>
      <c r="O448" t="s">
        <v>1752</v>
      </c>
      <c r="P448" t="s">
        <v>1751</v>
      </c>
      <c r="Q448">
        <f t="shared" si="6"/>
        <v>390.31325301204816</v>
      </c>
    </row>
    <row r="449" spans="1:17" x14ac:dyDescent="0.3">
      <c r="A449" t="s">
        <v>460</v>
      </c>
      <c r="B449" t="s">
        <v>858</v>
      </c>
      <c r="C449">
        <v>75</v>
      </c>
      <c r="D449" t="s">
        <v>892</v>
      </c>
      <c r="E449" t="s">
        <v>893</v>
      </c>
      <c r="F449" t="s">
        <v>909</v>
      </c>
      <c r="G449" t="s">
        <v>922</v>
      </c>
      <c r="H449" t="s">
        <v>1283</v>
      </c>
      <c r="I449" t="s">
        <v>1474</v>
      </c>
      <c r="J449">
        <v>3</v>
      </c>
      <c r="K449" t="s">
        <v>1711</v>
      </c>
      <c r="L449" t="s">
        <v>1732</v>
      </c>
      <c r="M449">
        <v>59382</v>
      </c>
      <c r="N449" t="s">
        <v>1750</v>
      </c>
      <c r="O449" t="s">
        <v>1756</v>
      </c>
      <c r="P449" t="s">
        <v>1751</v>
      </c>
      <c r="Q449">
        <f t="shared" si="6"/>
        <v>715.4457831325301</v>
      </c>
    </row>
    <row r="450" spans="1:17" x14ac:dyDescent="0.3">
      <c r="A450" t="s">
        <v>461</v>
      </c>
      <c r="B450" t="s">
        <v>859</v>
      </c>
      <c r="C450">
        <v>67</v>
      </c>
      <c r="D450" t="s">
        <v>892</v>
      </c>
      <c r="E450" t="s">
        <v>894</v>
      </c>
      <c r="F450" t="s">
        <v>907</v>
      </c>
      <c r="G450" t="s">
        <v>931</v>
      </c>
      <c r="H450" t="s">
        <v>1274</v>
      </c>
      <c r="I450" t="s">
        <v>1475</v>
      </c>
      <c r="J450">
        <v>29</v>
      </c>
      <c r="K450" t="s">
        <v>1632</v>
      </c>
      <c r="L450" t="s">
        <v>1749</v>
      </c>
      <c r="M450">
        <v>404057</v>
      </c>
      <c r="N450" t="s">
        <v>1750</v>
      </c>
      <c r="O450" t="s">
        <v>1754</v>
      </c>
      <c r="P450" t="s">
        <v>1750</v>
      </c>
      <c r="Q450">
        <f t="shared" si="6"/>
        <v>4868.1566265060237</v>
      </c>
    </row>
    <row r="451" spans="1:17" x14ac:dyDescent="0.3">
      <c r="A451" t="s">
        <v>462</v>
      </c>
      <c r="B451" t="s">
        <v>860</v>
      </c>
      <c r="C451">
        <v>29</v>
      </c>
      <c r="D451" t="s">
        <v>892</v>
      </c>
      <c r="E451" t="s">
        <v>897</v>
      </c>
      <c r="F451" t="s">
        <v>905</v>
      </c>
      <c r="G451" t="s">
        <v>939</v>
      </c>
      <c r="H451" t="s">
        <v>1284</v>
      </c>
      <c r="I451" t="s">
        <v>1329</v>
      </c>
      <c r="J451">
        <v>29</v>
      </c>
      <c r="K451" t="s">
        <v>1712</v>
      </c>
      <c r="L451" t="s">
        <v>1740</v>
      </c>
      <c r="M451">
        <v>850628</v>
      </c>
      <c r="N451" t="s">
        <v>1751</v>
      </c>
      <c r="O451" t="s">
        <v>1754</v>
      </c>
      <c r="P451" t="s">
        <v>1751</v>
      </c>
      <c r="Q451">
        <f t="shared" si="6"/>
        <v>10248.530120481928</v>
      </c>
    </row>
    <row r="452" spans="1:17" x14ac:dyDescent="0.3">
      <c r="A452" t="s">
        <v>463</v>
      </c>
      <c r="B452" t="s">
        <v>724</v>
      </c>
      <c r="C452">
        <v>63</v>
      </c>
      <c r="D452" t="s">
        <v>892</v>
      </c>
      <c r="E452" t="s">
        <v>899</v>
      </c>
      <c r="F452" t="s">
        <v>907</v>
      </c>
      <c r="G452" t="s">
        <v>945</v>
      </c>
      <c r="H452" t="s">
        <v>1285</v>
      </c>
      <c r="I452" t="s">
        <v>1441</v>
      </c>
      <c r="J452">
        <v>13</v>
      </c>
      <c r="K452" t="s">
        <v>1499</v>
      </c>
      <c r="L452" t="s">
        <v>1749</v>
      </c>
      <c r="M452">
        <v>423815</v>
      </c>
      <c r="N452" t="s">
        <v>1750</v>
      </c>
      <c r="O452" t="s">
        <v>1753</v>
      </c>
      <c r="P452" t="s">
        <v>1751</v>
      </c>
      <c r="Q452">
        <f t="shared" si="6"/>
        <v>5106.2048192771081</v>
      </c>
    </row>
    <row r="453" spans="1:17" x14ac:dyDescent="0.3">
      <c r="A453" t="s">
        <v>464</v>
      </c>
      <c r="B453" t="s">
        <v>840</v>
      </c>
      <c r="C453">
        <v>54</v>
      </c>
      <c r="D453" t="s">
        <v>892</v>
      </c>
      <c r="E453" t="s">
        <v>900</v>
      </c>
      <c r="F453" t="s">
        <v>902</v>
      </c>
      <c r="G453" t="s">
        <v>911</v>
      </c>
      <c r="H453" t="s">
        <v>1286</v>
      </c>
      <c r="I453" t="s">
        <v>1111</v>
      </c>
      <c r="J453">
        <v>2</v>
      </c>
      <c r="K453" t="s">
        <v>1602</v>
      </c>
      <c r="L453" t="s">
        <v>1744</v>
      </c>
      <c r="M453">
        <v>26440</v>
      </c>
      <c r="N453" t="s">
        <v>1750</v>
      </c>
      <c r="O453" t="s">
        <v>1754</v>
      </c>
      <c r="P453" t="s">
        <v>1751</v>
      </c>
      <c r="Q453">
        <f t="shared" ref="Q453:Q504" si="7">M453/83</f>
        <v>318.5542168674699</v>
      </c>
    </row>
    <row r="454" spans="1:17" x14ac:dyDescent="0.3">
      <c r="A454" t="s">
        <v>465</v>
      </c>
      <c r="B454" t="s">
        <v>861</v>
      </c>
      <c r="C454">
        <v>34</v>
      </c>
      <c r="D454" t="s">
        <v>892</v>
      </c>
      <c r="E454" t="s">
        <v>893</v>
      </c>
      <c r="F454" t="s">
        <v>903</v>
      </c>
      <c r="G454" t="s">
        <v>926</v>
      </c>
      <c r="H454" t="s">
        <v>1078</v>
      </c>
      <c r="I454" t="s">
        <v>1374</v>
      </c>
      <c r="J454">
        <v>1</v>
      </c>
      <c r="K454" t="s">
        <v>1713</v>
      </c>
      <c r="L454" t="s">
        <v>1736</v>
      </c>
      <c r="M454">
        <v>12854</v>
      </c>
      <c r="N454" t="s">
        <v>1750</v>
      </c>
      <c r="O454" t="s">
        <v>1753</v>
      </c>
      <c r="P454" t="s">
        <v>1751</v>
      </c>
      <c r="Q454">
        <f t="shared" si="7"/>
        <v>154.86746987951807</v>
      </c>
    </row>
    <row r="455" spans="1:17" x14ac:dyDescent="0.3">
      <c r="A455" t="s">
        <v>466</v>
      </c>
      <c r="B455" t="s">
        <v>521</v>
      </c>
      <c r="C455">
        <v>78</v>
      </c>
      <c r="D455" t="s">
        <v>891</v>
      </c>
      <c r="E455" t="s">
        <v>897</v>
      </c>
      <c r="F455" t="s">
        <v>908</v>
      </c>
      <c r="G455" t="s">
        <v>921</v>
      </c>
      <c r="H455" t="s">
        <v>1287</v>
      </c>
      <c r="I455" t="s">
        <v>1413</v>
      </c>
      <c r="J455">
        <v>9</v>
      </c>
      <c r="K455" t="s">
        <v>1519</v>
      </c>
      <c r="L455" t="s">
        <v>1735</v>
      </c>
      <c r="M455">
        <v>275751</v>
      </c>
      <c r="N455" t="s">
        <v>1750</v>
      </c>
      <c r="O455" t="s">
        <v>1756</v>
      </c>
      <c r="P455" t="s">
        <v>1751</v>
      </c>
      <c r="Q455">
        <f t="shared" si="7"/>
        <v>3322.3012048192772</v>
      </c>
    </row>
    <row r="456" spans="1:17" x14ac:dyDescent="0.3">
      <c r="A456" t="s">
        <v>467</v>
      </c>
      <c r="B456" t="s">
        <v>634</v>
      </c>
      <c r="C456">
        <v>76</v>
      </c>
      <c r="D456" t="s">
        <v>891</v>
      </c>
      <c r="E456" t="s">
        <v>894</v>
      </c>
      <c r="F456" t="s">
        <v>908</v>
      </c>
      <c r="G456" t="s">
        <v>921</v>
      </c>
      <c r="H456" t="s">
        <v>1055</v>
      </c>
      <c r="I456" t="s">
        <v>1476</v>
      </c>
      <c r="J456">
        <v>4</v>
      </c>
      <c r="K456" t="s">
        <v>1524</v>
      </c>
      <c r="L456" t="s">
        <v>1735</v>
      </c>
      <c r="M456">
        <v>193855</v>
      </c>
      <c r="N456" t="s">
        <v>1751</v>
      </c>
      <c r="O456" t="s">
        <v>1754</v>
      </c>
      <c r="P456" t="s">
        <v>1751</v>
      </c>
      <c r="Q456">
        <f t="shared" si="7"/>
        <v>2335.602409638554</v>
      </c>
    </row>
    <row r="457" spans="1:17" x14ac:dyDescent="0.3">
      <c r="A457" t="s">
        <v>468</v>
      </c>
      <c r="B457" t="s">
        <v>704</v>
      </c>
      <c r="C457">
        <v>77</v>
      </c>
      <c r="D457" t="s">
        <v>892</v>
      </c>
      <c r="E457" t="s">
        <v>894</v>
      </c>
      <c r="F457" t="s">
        <v>905</v>
      </c>
      <c r="G457" t="s">
        <v>918</v>
      </c>
      <c r="H457" t="s">
        <v>1288</v>
      </c>
      <c r="I457" t="s">
        <v>1081</v>
      </c>
      <c r="J457">
        <v>3</v>
      </c>
      <c r="K457" t="s">
        <v>1712</v>
      </c>
      <c r="L457" t="s">
        <v>1729</v>
      </c>
      <c r="M457">
        <v>51000</v>
      </c>
      <c r="N457" t="s">
        <v>1750</v>
      </c>
      <c r="O457" t="s">
        <v>1756</v>
      </c>
      <c r="P457" t="s">
        <v>1751</v>
      </c>
      <c r="Q457">
        <f t="shared" si="7"/>
        <v>614.45783132530119</v>
      </c>
    </row>
    <row r="458" spans="1:17" x14ac:dyDescent="0.3">
      <c r="A458" t="s">
        <v>469</v>
      </c>
      <c r="B458" t="s">
        <v>862</v>
      </c>
      <c r="C458">
        <v>31</v>
      </c>
      <c r="D458" t="s">
        <v>892</v>
      </c>
      <c r="E458" t="s">
        <v>897</v>
      </c>
      <c r="F458" t="s">
        <v>908</v>
      </c>
      <c r="G458" t="s">
        <v>936</v>
      </c>
      <c r="H458" t="s">
        <v>1289</v>
      </c>
      <c r="I458" t="s">
        <v>1153</v>
      </c>
      <c r="J458">
        <v>14</v>
      </c>
      <c r="K458" t="s">
        <v>1669</v>
      </c>
      <c r="L458" t="s">
        <v>1735</v>
      </c>
      <c r="M458">
        <v>526192</v>
      </c>
      <c r="N458" t="s">
        <v>1751</v>
      </c>
      <c r="O458" t="s">
        <v>1754</v>
      </c>
      <c r="P458" t="s">
        <v>1751</v>
      </c>
      <c r="Q458">
        <f t="shared" si="7"/>
        <v>6339.6626506024095</v>
      </c>
    </row>
    <row r="459" spans="1:17" x14ac:dyDescent="0.3">
      <c r="A459" t="s">
        <v>470</v>
      </c>
      <c r="B459" t="s">
        <v>688</v>
      </c>
      <c r="C459">
        <v>52</v>
      </c>
      <c r="D459" t="s">
        <v>892</v>
      </c>
      <c r="E459" t="s">
        <v>897</v>
      </c>
      <c r="F459" t="s">
        <v>903</v>
      </c>
      <c r="G459" t="s">
        <v>941</v>
      </c>
      <c r="H459" t="s">
        <v>1290</v>
      </c>
      <c r="I459" t="s">
        <v>1477</v>
      </c>
      <c r="J459">
        <v>1</v>
      </c>
      <c r="K459" t="s">
        <v>1714</v>
      </c>
      <c r="L459" t="s">
        <v>1748</v>
      </c>
      <c r="M459">
        <v>22892</v>
      </c>
      <c r="N459" t="s">
        <v>1750</v>
      </c>
      <c r="O459" t="s">
        <v>1754</v>
      </c>
      <c r="P459" t="s">
        <v>1751</v>
      </c>
      <c r="Q459">
        <f t="shared" si="7"/>
        <v>275.80722891566268</v>
      </c>
    </row>
    <row r="460" spans="1:17" x14ac:dyDescent="0.3">
      <c r="A460" t="s">
        <v>471</v>
      </c>
      <c r="B460" t="s">
        <v>863</v>
      </c>
      <c r="C460">
        <v>31</v>
      </c>
      <c r="D460" t="s">
        <v>891</v>
      </c>
      <c r="E460" t="s">
        <v>894</v>
      </c>
      <c r="F460" t="s">
        <v>908</v>
      </c>
      <c r="G460" t="s">
        <v>928</v>
      </c>
      <c r="H460" t="s">
        <v>1291</v>
      </c>
      <c r="I460" t="s">
        <v>1478</v>
      </c>
      <c r="J460">
        <v>4</v>
      </c>
      <c r="K460" t="s">
        <v>1640</v>
      </c>
      <c r="L460" t="s">
        <v>1728</v>
      </c>
      <c r="M460">
        <v>63750</v>
      </c>
      <c r="N460" t="s">
        <v>1750</v>
      </c>
      <c r="O460" t="s">
        <v>1754</v>
      </c>
      <c r="P460" t="s">
        <v>1751</v>
      </c>
      <c r="Q460">
        <f t="shared" si="7"/>
        <v>768.07228915662654</v>
      </c>
    </row>
    <row r="461" spans="1:17" x14ac:dyDescent="0.3">
      <c r="A461" t="s">
        <v>472</v>
      </c>
      <c r="B461" t="s">
        <v>670</v>
      </c>
      <c r="C461">
        <v>21</v>
      </c>
      <c r="D461" t="s">
        <v>892</v>
      </c>
      <c r="E461" t="s">
        <v>897</v>
      </c>
      <c r="F461" t="s">
        <v>903</v>
      </c>
      <c r="G461" t="s">
        <v>912</v>
      </c>
      <c r="H461" t="s">
        <v>1195</v>
      </c>
      <c r="I461" t="s">
        <v>1479</v>
      </c>
      <c r="J461">
        <v>1</v>
      </c>
      <c r="K461" t="s">
        <v>1495</v>
      </c>
      <c r="L461" t="s">
        <v>1736</v>
      </c>
      <c r="M461">
        <v>5613</v>
      </c>
      <c r="N461" t="s">
        <v>1751</v>
      </c>
      <c r="O461" t="s">
        <v>1754</v>
      </c>
      <c r="P461" t="s">
        <v>1751</v>
      </c>
      <c r="Q461">
        <f t="shared" si="7"/>
        <v>67.626506024096386</v>
      </c>
    </row>
    <row r="462" spans="1:17" x14ac:dyDescent="0.3">
      <c r="A462" t="s">
        <v>473</v>
      </c>
      <c r="B462" t="s">
        <v>864</v>
      </c>
      <c r="C462">
        <v>76</v>
      </c>
      <c r="D462" t="s">
        <v>891</v>
      </c>
      <c r="E462" t="s">
        <v>897</v>
      </c>
      <c r="F462" t="s">
        <v>908</v>
      </c>
      <c r="G462" t="s">
        <v>921</v>
      </c>
      <c r="H462" t="s">
        <v>1025</v>
      </c>
      <c r="I462" t="s">
        <v>1349</v>
      </c>
      <c r="J462">
        <v>3</v>
      </c>
      <c r="K462" t="s">
        <v>1572</v>
      </c>
      <c r="L462" t="s">
        <v>1728</v>
      </c>
      <c r="M462">
        <v>78435</v>
      </c>
      <c r="N462" t="s">
        <v>1751</v>
      </c>
      <c r="O462" t="s">
        <v>1754</v>
      </c>
      <c r="P462" t="s">
        <v>1751</v>
      </c>
      <c r="Q462">
        <f t="shared" si="7"/>
        <v>945</v>
      </c>
    </row>
    <row r="463" spans="1:17" x14ac:dyDescent="0.3">
      <c r="A463" t="s">
        <v>474</v>
      </c>
      <c r="B463" t="s">
        <v>865</v>
      </c>
      <c r="C463">
        <v>23</v>
      </c>
      <c r="D463" t="s">
        <v>891</v>
      </c>
      <c r="E463" t="s">
        <v>893</v>
      </c>
      <c r="F463" t="s">
        <v>904</v>
      </c>
      <c r="G463" t="s">
        <v>940</v>
      </c>
      <c r="H463" t="s">
        <v>1292</v>
      </c>
      <c r="I463" t="s">
        <v>1149</v>
      </c>
      <c r="J463">
        <v>1</v>
      </c>
      <c r="K463" t="s">
        <v>1715</v>
      </c>
      <c r="L463" t="s">
        <v>1742</v>
      </c>
      <c r="M463">
        <v>13784</v>
      </c>
      <c r="N463" t="s">
        <v>1750</v>
      </c>
      <c r="O463" t="s">
        <v>1753</v>
      </c>
      <c r="P463" t="s">
        <v>1751</v>
      </c>
      <c r="Q463">
        <f t="shared" si="7"/>
        <v>166.07228915662651</v>
      </c>
    </row>
    <row r="464" spans="1:17" x14ac:dyDescent="0.3">
      <c r="A464" t="s">
        <v>475</v>
      </c>
      <c r="B464" t="s">
        <v>866</v>
      </c>
      <c r="C464">
        <v>68</v>
      </c>
      <c r="D464" t="s">
        <v>892</v>
      </c>
      <c r="E464" t="s">
        <v>900</v>
      </c>
      <c r="F464" t="s">
        <v>905</v>
      </c>
      <c r="G464" t="s">
        <v>914</v>
      </c>
      <c r="H464" t="s">
        <v>1207</v>
      </c>
      <c r="I464" t="s">
        <v>1112</v>
      </c>
      <c r="J464">
        <v>1</v>
      </c>
      <c r="K464" t="s">
        <v>1552</v>
      </c>
      <c r="L464" t="s">
        <v>1729</v>
      </c>
      <c r="M464">
        <v>9774</v>
      </c>
      <c r="N464" t="s">
        <v>1750</v>
      </c>
      <c r="O464" t="s">
        <v>1752</v>
      </c>
      <c r="P464" t="s">
        <v>1751</v>
      </c>
      <c r="Q464">
        <f t="shared" si="7"/>
        <v>117.75903614457832</v>
      </c>
    </row>
    <row r="465" spans="1:17" x14ac:dyDescent="0.3">
      <c r="A465" t="s">
        <v>476</v>
      </c>
      <c r="B465" t="s">
        <v>867</v>
      </c>
      <c r="C465">
        <v>68</v>
      </c>
      <c r="D465" t="s">
        <v>892</v>
      </c>
      <c r="E465" t="s">
        <v>893</v>
      </c>
      <c r="F465" t="s">
        <v>902</v>
      </c>
      <c r="G465" t="s">
        <v>925</v>
      </c>
      <c r="H465" t="s">
        <v>1007</v>
      </c>
      <c r="I465" t="s">
        <v>1201</v>
      </c>
      <c r="J465">
        <v>1</v>
      </c>
      <c r="K465" t="s">
        <v>1704</v>
      </c>
      <c r="L465" t="s">
        <v>1722</v>
      </c>
      <c r="M465">
        <v>10983</v>
      </c>
      <c r="N465" t="s">
        <v>1751</v>
      </c>
      <c r="O465" t="s">
        <v>1754</v>
      </c>
      <c r="P465" t="s">
        <v>1751</v>
      </c>
      <c r="Q465">
        <f t="shared" si="7"/>
        <v>132.32530120481928</v>
      </c>
    </row>
    <row r="466" spans="1:17" x14ac:dyDescent="0.3">
      <c r="A466" t="s">
        <v>477</v>
      </c>
      <c r="B466" t="s">
        <v>868</v>
      </c>
      <c r="C466">
        <v>68</v>
      </c>
      <c r="D466" t="s">
        <v>891</v>
      </c>
      <c r="E466" t="s">
        <v>894</v>
      </c>
      <c r="F466" t="s">
        <v>908</v>
      </c>
      <c r="G466" t="s">
        <v>928</v>
      </c>
      <c r="H466" t="s">
        <v>1076</v>
      </c>
      <c r="I466" t="s">
        <v>1214</v>
      </c>
      <c r="J466">
        <v>6</v>
      </c>
      <c r="K466" t="s">
        <v>1599</v>
      </c>
      <c r="L466" t="s">
        <v>1735</v>
      </c>
      <c r="M466">
        <v>317257</v>
      </c>
      <c r="N466" t="s">
        <v>1750</v>
      </c>
      <c r="O466" t="s">
        <v>1752</v>
      </c>
      <c r="P466" t="s">
        <v>1751</v>
      </c>
      <c r="Q466">
        <f t="shared" si="7"/>
        <v>3822.3734939759038</v>
      </c>
    </row>
    <row r="467" spans="1:17" x14ac:dyDescent="0.3">
      <c r="A467" t="s">
        <v>478</v>
      </c>
      <c r="B467" t="s">
        <v>869</v>
      </c>
      <c r="C467">
        <v>78</v>
      </c>
      <c r="D467" t="s">
        <v>891</v>
      </c>
      <c r="E467" t="s">
        <v>898</v>
      </c>
      <c r="F467" t="s">
        <v>902</v>
      </c>
      <c r="G467" t="s">
        <v>944</v>
      </c>
      <c r="H467" t="s">
        <v>1293</v>
      </c>
      <c r="I467" t="s">
        <v>1480</v>
      </c>
      <c r="J467">
        <v>6</v>
      </c>
      <c r="K467" t="s">
        <v>1716</v>
      </c>
      <c r="L467" t="s">
        <v>1744</v>
      </c>
      <c r="M467">
        <v>238438</v>
      </c>
      <c r="N467" t="s">
        <v>1750</v>
      </c>
      <c r="O467" t="s">
        <v>1753</v>
      </c>
      <c r="P467" t="s">
        <v>1751</v>
      </c>
      <c r="Q467">
        <f t="shared" si="7"/>
        <v>2872.7469879518071</v>
      </c>
    </row>
    <row r="468" spans="1:17" x14ac:dyDescent="0.3">
      <c r="A468" t="s">
        <v>479</v>
      </c>
      <c r="B468" t="s">
        <v>870</v>
      </c>
      <c r="C468">
        <v>76</v>
      </c>
      <c r="D468" t="s">
        <v>891</v>
      </c>
      <c r="E468" t="s">
        <v>898</v>
      </c>
      <c r="F468" t="s">
        <v>906</v>
      </c>
      <c r="G468" t="s">
        <v>943</v>
      </c>
      <c r="H468" t="s">
        <v>1101</v>
      </c>
      <c r="I468" t="s">
        <v>1481</v>
      </c>
      <c r="J468">
        <v>4</v>
      </c>
      <c r="K468" t="s">
        <v>1558</v>
      </c>
      <c r="L468" t="s">
        <v>1726</v>
      </c>
      <c r="M468">
        <v>61039</v>
      </c>
      <c r="N468" t="s">
        <v>1750</v>
      </c>
      <c r="O468" t="s">
        <v>1752</v>
      </c>
      <c r="P468" t="s">
        <v>1751</v>
      </c>
      <c r="Q468">
        <f t="shared" si="7"/>
        <v>735.40963855421683</v>
      </c>
    </row>
    <row r="469" spans="1:17" x14ac:dyDescent="0.3">
      <c r="A469" t="s">
        <v>480</v>
      </c>
      <c r="B469" t="s">
        <v>768</v>
      </c>
      <c r="C469">
        <v>42</v>
      </c>
      <c r="D469" t="s">
        <v>892</v>
      </c>
      <c r="E469" t="s">
        <v>893</v>
      </c>
      <c r="F469" t="s">
        <v>909</v>
      </c>
      <c r="G469" t="s">
        <v>920</v>
      </c>
      <c r="H469" t="s">
        <v>1294</v>
      </c>
      <c r="I469" t="s">
        <v>1482</v>
      </c>
      <c r="J469">
        <v>6</v>
      </c>
      <c r="K469" t="s">
        <v>1696</v>
      </c>
      <c r="L469" t="s">
        <v>1732</v>
      </c>
      <c r="M469">
        <v>105927</v>
      </c>
      <c r="N469" t="s">
        <v>1750</v>
      </c>
      <c r="O469" t="s">
        <v>1754</v>
      </c>
      <c r="P469" t="s">
        <v>1751</v>
      </c>
      <c r="Q469">
        <f t="shared" si="7"/>
        <v>1276.2289156626507</v>
      </c>
    </row>
    <row r="470" spans="1:17" x14ac:dyDescent="0.3">
      <c r="A470" t="s">
        <v>481</v>
      </c>
      <c r="B470" t="s">
        <v>566</v>
      </c>
      <c r="C470">
        <v>61</v>
      </c>
      <c r="D470" t="s">
        <v>892</v>
      </c>
      <c r="E470" t="s">
        <v>900</v>
      </c>
      <c r="F470" t="s">
        <v>909</v>
      </c>
      <c r="G470" t="s">
        <v>920</v>
      </c>
      <c r="H470" t="s">
        <v>1017</v>
      </c>
      <c r="I470" t="s">
        <v>1066</v>
      </c>
      <c r="J470">
        <v>1</v>
      </c>
      <c r="K470" t="s">
        <v>1529</v>
      </c>
      <c r="L470" t="s">
        <v>1731</v>
      </c>
      <c r="M470">
        <v>7805</v>
      </c>
      <c r="N470" t="s">
        <v>1750</v>
      </c>
      <c r="O470" t="s">
        <v>1754</v>
      </c>
      <c r="P470" t="s">
        <v>1751</v>
      </c>
      <c r="Q470">
        <f t="shared" si="7"/>
        <v>94.036144578313255</v>
      </c>
    </row>
    <row r="471" spans="1:17" x14ac:dyDescent="0.3">
      <c r="A471" t="s">
        <v>482</v>
      </c>
      <c r="B471" t="s">
        <v>871</v>
      </c>
      <c r="C471">
        <v>4</v>
      </c>
      <c r="D471" t="s">
        <v>892</v>
      </c>
      <c r="E471" t="s">
        <v>900</v>
      </c>
      <c r="F471" t="s">
        <v>901</v>
      </c>
      <c r="G471" t="s">
        <v>943</v>
      </c>
      <c r="H471" t="s">
        <v>1106</v>
      </c>
      <c r="I471" t="s">
        <v>1130</v>
      </c>
      <c r="J471">
        <v>1</v>
      </c>
      <c r="K471" t="s">
        <v>1611</v>
      </c>
      <c r="L471" t="s">
        <v>1721</v>
      </c>
      <c r="M471">
        <v>7499</v>
      </c>
      <c r="N471" t="s">
        <v>1750</v>
      </c>
      <c r="O471" t="s">
        <v>1754</v>
      </c>
      <c r="P471" t="s">
        <v>1751</v>
      </c>
      <c r="Q471">
        <f t="shared" si="7"/>
        <v>90.349397590361448</v>
      </c>
    </row>
    <row r="472" spans="1:17" x14ac:dyDescent="0.3">
      <c r="A472" t="s">
        <v>483</v>
      </c>
      <c r="B472" t="s">
        <v>872</v>
      </c>
      <c r="C472">
        <v>39</v>
      </c>
      <c r="D472" t="s">
        <v>891</v>
      </c>
      <c r="E472" t="s">
        <v>893</v>
      </c>
      <c r="F472" t="s">
        <v>903</v>
      </c>
      <c r="G472" t="s">
        <v>930</v>
      </c>
      <c r="H472" t="s">
        <v>1295</v>
      </c>
      <c r="I472" t="s">
        <v>1483</v>
      </c>
      <c r="J472">
        <v>8</v>
      </c>
      <c r="K472" t="s">
        <v>1713</v>
      </c>
      <c r="L472" t="s">
        <v>1734</v>
      </c>
      <c r="M472">
        <v>57874</v>
      </c>
      <c r="N472" t="s">
        <v>1750</v>
      </c>
      <c r="O472" t="s">
        <v>1754</v>
      </c>
      <c r="P472" t="s">
        <v>1750</v>
      </c>
      <c r="Q472">
        <f t="shared" si="7"/>
        <v>697.27710843373495</v>
      </c>
    </row>
    <row r="473" spans="1:17" x14ac:dyDescent="0.3">
      <c r="A473" t="s">
        <v>484</v>
      </c>
      <c r="B473" t="s">
        <v>723</v>
      </c>
      <c r="C473">
        <v>35</v>
      </c>
      <c r="D473" t="s">
        <v>892</v>
      </c>
      <c r="E473" t="s">
        <v>893</v>
      </c>
      <c r="F473" t="s">
        <v>905</v>
      </c>
      <c r="G473" t="s">
        <v>939</v>
      </c>
      <c r="H473" t="s">
        <v>985</v>
      </c>
      <c r="I473" t="s">
        <v>1347</v>
      </c>
      <c r="J473">
        <v>1</v>
      </c>
      <c r="K473" t="s">
        <v>1641</v>
      </c>
      <c r="L473" t="s">
        <v>1740</v>
      </c>
      <c r="M473">
        <v>34333</v>
      </c>
      <c r="N473" t="s">
        <v>1750</v>
      </c>
      <c r="O473" t="s">
        <v>1754</v>
      </c>
      <c r="P473" t="s">
        <v>1751</v>
      </c>
      <c r="Q473">
        <f t="shared" si="7"/>
        <v>413.65060240963857</v>
      </c>
    </row>
    <row r="474" spans="1:17" x14ac:dyDescent="0.3">
      <c r="A474" t="s">
        <v>485</v>
      </c>
      <c r="B474" t="s">
        <v>843</v>
      </c>
      <c r="C474">
        <v>62</v>
      </c>
      <c r="D474" t="s">
        <v>891</v>
      </c>
      <c r="E474" t="s">
        <v>893</v>
      </c>
      <c r="F474" t="s">
        <v>907</v>
      </c>
      <c r="G474" t="s">
        <v>945</v>
      </c>
      <c r="H474" t="s">
        <v>1061</v>
      </c>
      <c r="I474" t="s">
        <v>1484</v>
      </c>
      <c r="J474">
        <v>33</v>
      </c>
      <c r="K474" t="s">
        <v>1534</v>
      </c>
      <c r="L474" t="s">
        <v>1749</v>
      </c>
      <c r="M474">
        <v>494749</v>
      </c>
      <c r="N474" t="s">
        <v>1750</v>
      </c>
      <c r="O474" t="s">
        <v>1752</v>
      </c>
      <c r="P474" t="s">
        <v>1751</v>
      </c>
      <c r="Q474">
        <f t="shared" si="7"/>
        <v>5960.8313253012047</v>
      </c>
    </row>
    <row r="475" spans="1:17" x14ac:dyDescent="0.3">
      <c r="A475" t="s">
        <v>486</v>
      </c>
      <c r="B475" t="s">
        <v>873</v>
      </c>
      <c r="C475">
        <v>73</v>
      </c>
      <c r="D475" t="s">
        <v>892</v>
      </c>
      <c r="E475" t="s">
        <v>893</v>
      </c>
      <c r="F475" t="s">
        <v>902</v>
      </c>
      <c r="G475" t="s">
        <v>949</v>
      </c>
      <c r="H475" t="s">
        <v>1296</v>
      </c>
      <c r="I475" t="s">
        <v>1100</v>
      </c>
      <c r="J475">
        <v>1</v>
      </c>
      <c r="K475" t="s">
        <v>1563</v>
      </c>
      <c r="L475" t="s">
        <v>1722</v>
      </c>
      <c r="M475">
        <v>31822</v>
      </c>
      <c r="N475" t="s">
        <v>1751</v>
      </c>
      <c r="O475" t="s">
        <v>1755</v>
      </c>
      <c r="P475" t="s">
        <v>1751</v>
      </c>
      <c r="Q475">
        <f t="shared" si="7"/>
        <v>383.39759036144579</v>
      </c>
    </row>
    <row r="476" spans="1:17" x14ac:dyDescent="0.3">
      <c r="A476" t="s">
        <v>487</v>
      </c>
      <c r="B476" t="s">
        <v>874</v>
      </c>
      <c r="C476">
        <v>37</v>
      </c>
      <c r="D476" t="s">
        <v>892</v>
      </c>
      <c r="E476" t="s">
        <v>893</v>
      </c>
      <c r="F476" t="s">
        <v>904</v>
      </c>
      <c r="G476" t="s">
        <v>946</v>
      </c>
      <c r="H476" t="s">
        <v>1297</v>
      </c>
      <c r="I476" t="s">
        <v>954</v>
      </c>
      <c r="J476">
        <v>10</v>
      </c>
      <c r="K476" t="s">
        <v>1646</v>
      </c>
      <c r="L476" t="s">
        <v>1747</v>
      </c>
      <c r="M476">
        <v>604363</v>
      </c>
      <c r="N476" t="s">
        <v>1750</v>
      </c>
      <c r="O476" t="s">
        <v>1755</v>
      </c>
      <c r="P476" t="s">
        <v>1751</v>
      </c>
      <c r="Q476">
        <f t="shared" si="7"/>
        <v>7281.4819277108436</v>
      </c>
    </row>
    <row r="477" spans="1:17" x14ac:dyDescent="0.3">
      <c r="A477" t="s">
        <v>488</v>
      </c>
      <c r="B477" t="s">
        <v>603</v>
      </c>
      <c r="C477">
        <v>47</v>
      </c>
      <c r="D477" t="s">
        <v>892</v>
      </c>
      <c r="E477" t="s">
        <v>897</v>
      </c>
      <c r="F477" t="s">
        <v>902</v>
      </c>
      <c r="G477" t="s">
        <v>911</v>
      </c>
      <c r="H477" t="s">
        <v>1298</v>
      </c>
      <c r="I477" t="s">
        <v>1181</v>
      </c>
      <c r="J477">
        <v>1</v>
      </c>
      <c r="K477" t="s">
        <v>1717</v>
      </c>
      <c r="L477" t="s">
        <v>1722</v>
      </c>
      <c r="M477">
        <v>42449</v>
      </c>
      <c r="N477" t="s">
        <v>1750</v>
      </c>
      <c r="O477" t="s">
        <v>1756</v>
      </c>
      <c r="P477" t="s">
        <v>1751</v>
      </c>
      <c r="Q477">
        <f t="shared" si="7"/>
        <v>511.43373493975906</v>
      </c>
    </row>
    <row r="478" spans="1:17" x14ac:dyDescent="0.3">
      <c r="A478" t="s">
        <v>489</v>
      </c>
      <c r="B478" t="s">
        <v>875</v>
      </c>
      <c r="C478">
        <v>15</v>
      </c>
      <c r="D478" t="s">
        <v>891</v>
      </c>
      <c r="E478" t="s">
        <v>897</v>
      </c>
      <c r="F478" t="s">
        <v>901</v>
      </c>
      <c r="G478" t="s">
        <v>943</v>
      </c>
      <c r="H478" t="s">
        <v>1018</v>
      </c>
      <c r="I478" t="s">
        <v>1373</v>
      </c>
      <c r="J478">
        <v>6</v>
      </c>
      <c r="K478" t="s">
        <v>1509</v>
      </c>
      <c r="L478" t="s">
        <v>1721</v>
      </c>
      <c r="M478">
        <v>81880</v>
      </c>
      <c r="N478" t="s">
        <v>1751</v>
      </c>
      <c r="O478" t="s">
        <v>1754</v>
      </c>
      <c r="P478" t="s">
        <v>1750</v>
      </c>
      <c r="Q478">
        <f t="shared" si="7"/>
        <v>986.50602409638554</v>
      </c>
    </row>
    <row r="479" spans="1:17" x14ac:dyDescent="0.3">
      <c r="A479" t="s">
        <v>490</v>
      </c>
      <c r="B479" t="s">
        <v>773</v>
      </c>
      <c r="C479">
        <v>35</v>
      </c>
      <c r="D479" t="s">
        <v>891</v>
      </c>
      <c r="E479" t="s">
        <v>893</v>
      </c>
      <c r="F479" t="s">
        <v>907</v>
      </c>
      <c r="G479" t="s">
        <v>945</v>
      </c>
      <c r="H479" t="s">
        <v>1299</v>
      </c>
      <c r="I479" t="s">
        <v>1485</v>
      </c>
      <c r="J479">
        <v>7</v>
      </c>
      <c r="K479" t="s">
        <v>1581</v>
      </c>
      <c r="L479" t="s">
        <v>1727</v>
      </c>
      <c r="M479">
        <v>253211</v>
      </c>
      <c r="N479" t="s">
        <v>1750</v>
      </c>
      <c r="O479" t="s">
        <v>1754</v>
      </c>
      <c r="P479" t="s">
        <v>1751</v>
      </c>
      <c r="Q479">
        <f t="shared" si="7"/>
        <v>3050.734939759036</v>
      </c>
    </row>
    <row r="480" spans="1:17" x14ac:dyDescent="0.3">
      <c r="A480" t="s">
        <v>491</v>
      </c>
      <c r="B480" t="s">
        <v>615</v>
      </c>
      <c r="C480">
        <v>75</v>
      </c>
      <c r="D480" t="s">
        <v>891</v>
      </c>
      <c r="E480" t="s">
        <v>894</v>
      </c>
      <c r="F480" t="s">
        <v>907</v>
      </c>
      <c r="G480" t="s">
        <v>916</v>
      </c>
      <c r="H480" t="s">
        <v>1228</v>
      </c>
      <c r="I480" t="s">
        <v>1213</v>
      </c>
      <c r="J480">
        <v>45</v>
      </c>
      <c r="K480" t="s">
        <v>1718</v>
      </c>
      <c r="L480" t="s">
        <v>1749</v>
      </c>
      <c r="M480">
        <v>2197831</v>
      </c>
      <c r="N480" t="s">
        <v>1750</v>
      </c>
      <c r="O480" t="s">
        <v>1754</v>
      </c>
      <c r="P480" t="s">
        <v>1750</v>
      </c>
      <c r="Q480">
        <f t="shared" si="7"/>
        <v>26479.891566265062</v>
      </c>
    </row>
    <row r="481" spans="1:17" x14ac:dyDescent="0.3">
      <c r="A481" t="s">
        <v>492</v>
      </c>
      <c r="B481" t="s">
        <v>674</v>
      </c>
      <c r="C481">
        <v>80</v>
      </c>
      <c r="D481" t="s">
        <v>891</v>
      </c>
      <c r="E481" t="s">
        <v>897</v>
      </c>
      <c r="F481" t="s">
        <v>905</v>
      </c>
      <c r="G481" t="s">
        <v>914</v>
      </c>
      <c r="H481" t="s">
        <v>1300</v>
      </c>
      <c r="I481" t="s">
        <v>1042</v>
      </c>
      <c r="J481">
        <v>1</v>
      </c>
      <c r="K481" t="s">
        <v>1537</v>
      </c>
      <c r="L481" t="s">
        <v>1740</v>
      </c>
      <c r="M481">
        <v>11142</v>
      </c>
      <c r="N481" t="s">
        <v>1750</v>
      </c>
      <c r="O481" t="s">
        <v>1755</v>
      </c>
      <c r="P481" t="s">
        <v>1750</v>
      </c>
      <c r="Q481">
        <f t="shared" si="7"/>
        <v>134.24096385542168</v>
      </c>
    </row>
    <row r="482" spans="1:17" x14ac:dyDescent="0.3">
      <c r="A482" t="s">
        <v>493</v>
      </c>
      <c r="B482" t="s">
        <v>622</v>
      </c>
      <c r="C482">
        <v>34</v>
      </c>
      <c r="D482" t="s">
        <v>892</v>
      </c>
      <c r="E482" t="s">
        <v>897</v>
      </c>
      <c r="F482" t="s">
        <v>903</v>
      </c>
      <c r="G482" t="s">
        <v>912</v>
      </c>
      <c r="H482" t="s">
        <v>1301</v>
      </c>
      <c r="I482" t="s">
        <v>1486</v>
      </c>
      <c r="J482">
        <v>3</v>
      </c>
      <c r="K482" t="s">
        <v>1719</v>
      </c>
      <c r="L482" t="s">
        <v>1748</v>
      </c>
      <c r="M482">
        <v>67152</v>
      </c>
      <c r="N482" t="s">
        <v>1750</v>
      </c>
      <c r="O482" t="s">
        <v>1754</v>
      </c>
      <c r="P482" t="s">
        <v>1751</v>
      </c>
      <c r="Q482">
        <f t="shared" si="7"/>
        <v>809.06024096385545</v>
      </c>
    </row>
    <row r="483" spans="1:17" x14ac:dyDescent="0.3">
      <c r="A483" t="s">
        <v>494</v>
      </c>
      <c r="B483" t="s">
        <v>876</v>
      </c>
      <c r="C483">
        <v>5</v>
      </c>
      <c r="D483" t="s">
        <v>892</v>
      </c>
      <c r="E483" t="s">
        <v>893</v>
      </c>
      <c r="F483" t="s">
        <v>901</v>
      </c>
      <c r="G483" t="s">
        <v>942</v>
      </c>
      <c r="H483" t="s">
        <v>1302</v>
      </c>
      <c r="I483" t="s">
        <v>1025</v>
      </c>
      <c r="J483">
        <v>10</v>
      </c>
      <c r="K483" t="s">
        <v>1540</v>
      </c>
      <c r="L483" t="s">
        <v>1745</v>
      </c>
      <c r="M483">
        <v>462316</v>
      </c>
      <c r="N483" t="s">
        <v>1750</v>
      </c>
      <c r="O483" t="s">
        <v>1756</v>
      </c>
      <c r="P483" t="s">
        <v>1751</v>
      </c>
      <c r="Q483">
        <f t="shared" si="7"/>
        <v>5570.0722891566265</v>
      </c>
    </row>
    <row r="484" spans="1:17" x14ac:dyDescent="0.3">
      <c r="A484" t="s">
        <v>495</v>
      </c>
      <c r="B484" t="s">
        <v>877</v>
      </c>
      <c r="C484">
        <v>19</v>
      </c>
      <c r="D484" t="s">
        <v>892</v>
      </c>
      <c r="E484" t="s">
        <v>897</v>
      </c>
      <c r="F484" t="s">
        <v>909</v>
      </c>
      <c r="G484" t="s">
        <v>935</v>
      </c>
      <c r="H484" t="s">
        <v>1303</v>
      </c>
      <c r="I484" t="s">
        <v>1127</v>
      </c>
      <c r="J484">
        <v>1</v>
      </c>
      <c r="K484" t="s">
        <v>1504</v>
      </c>
      <c r="L484" t="s">
        <v>1741</v>
      </c>
      <c r="M484">
        <v>21241</v>
      </c>
      <c r="N484" t="s">
        <v>1750</v>
      </c>
      <c r="O484" t="s">
        <v>1754</v>
      </c>
      <c r="P484" t="s">
        <v>1751</v>
      </c>
      <c r="Q484">
        <f t="shared" si="7"/>
        <v>255.9156626506024</v>
      </c>
    </row>
    <row r="485" spans="1:17" x14ac:dyDescent="0.3">
      <c r="A485" t="s">
        <v>496</v>
      </c>
      <c r="B485" t="s">
        <v>878</v>
      </c>
      <c r="C485">
        <v>33</v>
      </c>
      <c r="D485" t="s">
        <v>891</v>
      </c>
      <c r="E485" t="s">
        <v>894</v>
      </c>
      <c r="F485" t="s">
        <v>904</v>
      </c>
      <c r="G485" t="s">
        <v>913</v>
      </c>
      <c r="H485" t="s">
        <v>1304</v>
      </c>
      <c r="I485" t="s">
        <v>1374</v>
      </c>
      <c r="J485">
        <v>2</v>
      </c>
      <c r="K485" t="s">
        <v>1646</v>
      </c>
      <c r="L485" t="s">
        <v>1747</v>
      </c>
      <c r="M485">
        <v>91062</v>
      </c>
      <c r="N485" t="s">
        <v>1750</v>
      </c>
      <c r="O485" t="s">
        <v>1755</v>
      </c>
      <c r="P485" t="s">
        <v>1751</v>
      </c>
      <c r="Q485">
        <f t="shared" si="7"/>
        <v>1097.132530120482</v>
      </c>
    </row>
    <row r="486" spans="1:17" x14ac:dyDescent="0.3">
      <c r="A486" t="s">
        <v>497</v>
      </c>
      <c r="B486" t="s">
        <v>879</v>
      </c>
      <c r="C486">
        <v>0</v>
      </c>
      <c r="D486" t="s">
        <v>891</v>
      </c>
      <c r="E486" t="s">
        <v>893</v>
      </c>
      <c r="F486" t="s">
        <v>901</v>
      </c>
      <c r="G486" t="s">
        <v>943</v>
      </c>
      <c r="H486" t="s">
        <v>1305</v>
      </c>
      <c r="I486" t="s">
        <v>1390</v>
      </c>
      <c r="J486">
        <v>3</v>
      </c>
      <c r="K486" t="s">
        <v>1493</v>
      </c>
      <c r="L486" t="s">
        <v>1745</v>
      </c>
      <c r="M486">
        <v>73296</v>
      </c>
      <c r="N486" t="s">
        <v>1751</v>
      </c>
      <c r="O486" t="s">
        <v>1754</v>
      </c>
      <c r="P486" t="s">
        <v>1751</v>
      </c>
      <c r="Q486">
        <f t="shared" si="7"/>
        <v>883.08433734939763</v>
      </c>
    </row>
    <row r="487" spans="1:17" x14ac:dyDescent="0.3">
      <c r="A487" t="s">
        <v>498</v>
      </c>
      <c r="B487" t="s">
        <v>880</v>
      </c>
      <c r="C487">
        <v>21</v>
      </c>
      <c r="D487" t="s">
        <v>891</v>
      </c>
      <c r="E487" t="s">
        <v>894</v>
      </c>
      <c r="F487" t="s">
        <v>903</v>
      </c>
      <c r="G487" t="s">
        <v>912</v>
      </c>
      <c r="H487" t="s">
        <v>1306</v>
      </c>
      <c r="I487" t="s">
        <v>1013</v>
      </c>
      <c r="J487">
        <v>2</v>
      </c>
      <c r="K487" t="s">
        <v>1613</v>
      </c>
      <c r="L487" t="s">
        <v>1734</v>
      </c>
      <c r="M487">
        <v>16584</v>
      </c>
      <c r="N487" t="s">
        <v>1751</v>
      </c>
      <c r="O487" t="s">
        <v>1752</v>
      </c>
      <c r="P487" t="s">
        <v>1751</v>
      </c>
      <c r="Q487">
        <f t="shared" si="7"/>
        <v>199.80722891566265</v>
      </c>
    </row>
    <row r="488" spans="1:17" x14ac:dyDescent="0.3">
      <c r="A488" t="s">
        <v>499</v>
      </c>
      <c r="B488" t="s">
        <v>881</v>
      </c>
      <c r="C488">
        <v>19</v>
      </c>
      <c r="D488" t="s">
        <v>892</v>
      </c>
      <c r="E488" t="s">
        <v>893</v>
      </c>
      <c r="F488" t="s">
        <v>904</v>
      </c>
      <c r="G488" t="s">
        <v>940</v>
      </c>
      <c r="H488" t="s">
        <v>1307</v>
      </c>
      <c r="I488" t="s">
        <v>1346</v>
      </c>
      <c r="J488">
        <v>2</v>
      </c>
      <c r="K488" t="s">
        <v>1530</v>
      </c>
      <c r="L488" t="s">
        <v>1724</v>
      </c>
      <c r="M488">
        <v>63815</v>
      </c>
      <c r="N488" t="s">
        <v>1751</v>
      </c>
      <c r="O488" t="s">
        <v>1756</v>
      </c>
      <c r="P488" t="s">
        <v>1751</v>
      </c>
      <c r="Q488">
        <f t="shared" si="7"/>
        <v>768.85542168674704</v>
      </c>
    </row>
    <row r="489" spans="1:17" x14ac:dyDescent="0.3">
      <c r="A489" t="s">
        <v>500</v>
      </c>
      <c r="B489" t="s">
        <v>527</v>
      </c>
      <c r="C489">
        <v>58</v>
      </c>
      <c r="D489" t="s">
        <v>891</v>
      </c>
      <c r="E489" t="s">
        <v>893</v>
      </c>
      <c r="F489" t="s">
        <v>902</v>
      </c>
      <c r="G489" t="s">
        <v>911</v>
      </c>
      <c r="H489" t="s">
        <v>1308</v>
      </c>
      <c r="I489" t="s">
        <v>1042</v>
      </c>
      <c r="J489">
        <v>4</v>
      </c>
      <c r="K489" t="s">
        <v>1716</v>
      </c>
      <c r="L489" t="s">
        <v>1744</v>
      </c>
      <c r="M489">
        <v>120311</v>
      </c>
      <c r="N489" t="s">
        <v>1750</v>
      </c>
      <c r="O489" t="s">
        <v>1754</v>
      </c>
      <c r="P489" t="s">
        <v>1751</v>
      </c>
      <c r="Q489">
        <f t="shared" si="7"/>
        <v>1449.5301204819277</v>
      </c>
    </row>
    <row r="490" spans="1:17" x14ac:dyDescent="0.3">
      <c r="A490" t="s">
        <v>501</v>
      </c>
      <c r="B490" t="s">
        <v>882</v>
      </c>
      <c r="C490">
        <v>66</v>
      </c>
      <c r="D490" t="s">
        <v>891</v>
      </c>
      <c r="E490" t="s">
        <v>894</v>
      </c>
      <c r="F490" t="s">
        <v>908</v>
      </c>
      <c r="G490" t="s">
        <v>928</v>
      </c>
      <c r="H490" t="s">
        <v>1309</v>
      </c>
      <c r="I490" t="s">
        <v>1193</v>
      </c>
      <c r="J490">
        <v>13</v>
      </c>
      <c r="K490" t="s">
        <v>1612</v>
      </c>
      <c r="L490" t="s">
        <v>1737</v>
      </c>
      <c r="M490">
        <v>368316</v>
      </c>
      <c r="N490" t="s">
        <v>1751</v>
      </c>
      <c r="O490" t="s">
        <v>1754</v>
      </c>
      <c r="P490" t="s">
        <v>1751</v>
      </c>
      <c r="Q490">
        <f t="shared" si="7"/>
        <v>4437.5421686746986</v>
      </c>
    </row>
    <row r="491" spans="1:17" x14ac:dyDescent="0.3">
      <c r="A491" t="s">
        <v>502</v>
      </c>
      <c r="B491" t="s">
        <v>682</v>
      </c>
      <c r="C491">
        <v>75</v>
      </c>
      <c r="D491" t="s">
        <v>892</v>
      </c>
      <c r="E491" t="s">
        <v>900</v>
      </c>
      <c r="F491" t="s">
        <v>905</v>
      </c>
      <c r="G491" t="s">
        <v>933</v>
      </c>
      <c r="H491" t="s">
        <v>970</v>
      </c>
      <c r="I491" t="s">
        <v>1230</v>
      </c>
      <c r="J491">
        <v>1</v>
      </c>
      <c r="K491" t="s">
        <v>1627</v>
      </c>
      <c r="L491" t="s">
        <v>1725</v>
      </c>
      <c r="M491">
        <v>25438</v>
      </c>
      <c r="N491" t="s">
        <v>1751</v>
      </c>
      <c r="O491" t="s">
        <v>1755</v>
      </c>
      <c r="P491" t="s">
        <v>1751</v>
      </c>
      <c r="Q491">
        <f t="shared" si="7"/>
        <v>306.48192771084337</v>
      </c>
    </row>
    <row r="492" spans="1:17" x14ac:dyDescent="0.3">
      <c r="A492" t="s">
        <v>503</v>
      </c>
      <c r="B492" t="s">
        <v>553</v>
      </c>
      <c r="C492">
        <v>82</v>
      </c>
      <c r="D492" t="s">
        <v>892</v>
      </c>
      <c r="E492" t="s">
        <v>899</v>
      </c>
      <c r="F492" t="s">
        <v>907</v>
      </c>
      <c r="G492" t="s">
        <v>931</v>
      </c>
      <c r="H492" t="s">
        <v>1062</v>
      </c>
      <c r="I492" t="s">
        <v>1266</v>
      </c>
      <c r="J492">
        <v>3</v>
      </c>
      <c r="K492" t="s">
        <v>1695</v>
      </c>
      <c r="L492" t="s">
        <v>1749</v>
      </c>
      <c r="M492">
        <v>36609</v>
      </c>
      <c r="N492" t="s">
        <v>1750</v>
      </c>
      <c r="O492" t="s">
        <v>1754</v>
      </c>
      <c r="P492" t="s">
        <v>1750</v>
      </c>
      <c r="Q492">
        <f t="shared" si="7"/>
        <v>441.07228915662648</v>
      </c>
    </row>
    <row r="493" spans="1:17" x14ac:dyDescent="0.3">
      <c r="A493" t="s">
        <v>504</v>
      </c>
      <c r="B493" t="s">
        <v>883</v>
      </c>
      <c r="C493">
        <v>37</v>
      </c>
      <c r="D493" t="s">
        <v>891</v>
      </c>
      <c r="E493" t="s">
        <v>897</v>
      </c>
      <c r="F493" t="s">
        <v>905</v>
      </c>
      <c r="G493" t="s">
        <v>929</v>
      </c>
      <c r="H493" t="s">
        <v>1310</v>
      </c>
      <c r="I493" t="s">
        <v>1132</v>
      </c>
      <c r="J493">
        <v>21</v>
      </c>
      <c r="K493" t="s">
        <v>1625</v>
      </c>
      <c r="L493" t="s">
        <v>1725</v>
      </c>
      <c r="M493">
        <v>613308</v>
      </c>
      <c r="N493" t="s">
        <v>1750</v>
      </c>
      <c r="O493" t="s">
        <v>1752</v>
      </c>
      <c r="P493" t="s">
        <v>1751</v>
      </c>
      <c r="Q493">
        <f t="shared" si="7"/>
        <v>7389.2530120481924</v>
      </c>
    </row>
    <row r="494" spans="1:17" x14ac:dyDescent="0.3">
      <c r="A494" t="s">
        <v>505</v>
      </c>
      <c r="B494" t="s">
        <v>884</v>
      </c>
      <c r="C494">
        <v>38</v>
      </c>
      <c r="D494" t="s">
        <v>891</v>
      </c>
      <c r="E494" t="s">
        <v>897</v>
      </c>
      <c r="F494" t="s">
        <v>904</v>
      </c>
      <c r="G494" t="s">
        <v>937</v>
      </c>
      <c r="H494" t="s">
        <v>1311</v>
      </c>
      <c r="I494" t="s">
        <v>1409</v>
      </c>
      <c r="J494">
        <v>6</v>
      </c>
      <c r="K494" t="s">
        <v>1586</v>
      </c>
      <c r="L494" t="s">
        <v>1724</v>
      </c>
      <c r="M494">
        <v>149122</v>
      </c>
      <c r="N494" t="s">
        <v>1750</v>
      </c>
      <c r="O494" t="s">
        <v>1754</v>
      </c>
      <c r="P494" t="s">
        <v>1751</v>
      </c>
      <c r="Q494">
        <f t="shared" si="7"/>
        <v>1796.6506024096386</v>
      </c>
    </row>
    <row r="495" spans="1:17" x14ac:dyDescent="0.3">
      <c r="A495" t="s">
        <v>506</v>
      </c>
      <c r="B495" t="s">
        <v>885</v>
      </c>
      <c r="C495">
        <v>69</v>
      </c>
      <c r="D495" t="s">
        <v>892</v>
      </c>
      <c r="E495" t="s">
        <v>894</v>
      </c>
      <c r="F495" t="s">
        <v>907</v>
      </c>
      <c r="G495" t="s">
        <v>952</v>
      </c>
      <c r="H495" t="s">
        <v>1312</v>
      </c>
      <c r="I495" t="s">
        <v>1487</v>
      </c>
      <c r="J495">
        <v>6</v>
      </c>
      <c r="K495" t="s">
        <v>1582</v>
      </c>
      <c r="L495" t="s">
        <v>1727</v>
      </c>
      <c r="M495">
        <v>220533</v>
      </c>
      <c r="N495" t="s">
        <v>1750</v>
      </c>
      <c r="O495" t="s">
        <v>1753</v>
      </c>
      <c r="P495" t="s">
        <v>1751</v>
      </c>
      <c r="Q495">
        <f t="shared" si="7"/>
        <v>2657.0240963855422</v>
      </c>
    </row>
    <row r="496" spans="1:17" x14ac:dyDescent="0.3">
      <c r="A496" t="s">
        <v>507</v>
      </c>
      <c r="B496" t="s">
        <v>886</v>
      </c>
      <c r="C496">
        <v>9</v>
      </c>
      <c r="D496" t="s">
        <v>892</v>
      </c>
      <c r="E496" t="s">
        <v>893</v>
      </c>
      <c r="F496" t="s">
        <v>901</v>
      </c>
      <c r="G496" t="s">
        <v>948</v>
      </c>
      <c r="H496" t="s">
        <v>1313</v>
      </c>
      <c r="I496" t="s">
        <v>1488</v>
      </c>
      <c r="J496">
        <v>2</v>
      </c>
      <c r="K496" t="s">
        <v>1584</v>
      </c>
      <c r="L496" t="s">
        <v>1733</v>
      </c>
      <c r="M496">
        <v>44189</v>
      </c>
      <c r="N496" t="s">
        <v>1750</v>
      </c>
      <c r="O496" t="s">
        <v>1754</v>
      </c>
      <c r="P496" t="s">
        <v>1751</v>
      </c>
      <c r="Q496">
        <f t="shared" si="7"/>
        <v>532.39759036144574</v>
      </c>
    </row>
    <row r="497" spans="1:17" x14ac:dyDescent="0.3">
      <c r="A497" t="s">
        <v>508</v>
      </c>
      <c r="B497" t="s">
        <v>638</v>
      </c>
      <c r="C497">
        <v>42</v>
      </c>
      <c r="D497" t="s">
        <v>892</v>
      </c>
      <c r="E497" t="s">
        <v>897</v>
      </c>
      <c r="F497" t="s">
        <v>908</v>
      </c>
      <c r="G497" t="s">
        <v>917</v>
      </c>
      <c r="H497" t="s">
        <v>1314</v>
      </c>
      <c r="I497" t="s">
        <v>1489</v>
      </c>
      <c r="J497">
        <v>1</v>
      </c>
      <c r="K497" t="s">
        <v>1572</v>
      </c>
      <c r="L497" t="s">
        <v>1737</v>
      </c>
      <c r="M497">
        <v>21051</v>
      </c>
      <c r="N497" t="s">
        <v>1750</v>
      </c>
      <c r="O497" t="s">
        <v>1753</v>
      </c>
      <c r="P497" t="s">
        <v>1750</v>
      </c>
      <c r="Q497">
        <f t="shared" si="7"/>
        <v>253.62650602409639</v>
      </c>
    </row>
    <row r="498" spans="1:17" x14ac:dyDescent="0.3">
      <c r="A498" t="s">
        <v>509</v>
      </c>
      <c r="B498" t="s">
        <v>887</v>
      </c>
      <c r="C498">
        <v>66</v>
      </c>
      <c r="D498" t="s">
        <v>891</v>
      </c>
      <c r="E498" t="s">
        <v>897</v>
      </c>
      <c r="F498" t="s">
        <v>908</v>
      </c>
      <c r="G498" t="s">
        <v>928</v>
      </c>
      <c r="H498" t="s">
        <v>1082</v>
      </c>
      <c r="I498" t="s">
        <v>1257</v>
      </c>
      <c r="J498">
        <v>1</v>
      </c>
      <c r="K498" t="s">
        <v>1708</v>
      </c>
      <c r="L498" t="s">
        <v>1735</v>
      </c>
      <c r="M498">
        <v>36350</v>
      </c>
      <c r="N498" t="s">
        <v>1750</v>
      </c>
      <c r="O498" t="s">
        <v>1754</v>
      </c>
      <c r="P498" t="s">
        <v>1751</v>
      </c>
      <c r="Q498">
        <f t="shared" si="7"/>
        <v>437.95180722891564</v>
      </c>
    </row>
    <row r="499" spans="1:17" x14ac:dyDescent="0.3">
      <c r="A499" t="s">
        <v>510</v>
      </c>
      <c r="B499" t="s">
        <v>888</v>
      </c>
      <c r="C499">
        <v>66</v>
      </c>
      <c r="D499" t="s">
        <v>891</v>
      </c>
      <c r="E499" t="s">
        <v>894</v>
      </c>
      <c r="F499" t="s">
        <v>908</v>
      </c>
      <c r="G499" t="s">
        <v>947</v>
      </c>
      <c r="H499" t="s">
        <v>1060</v>
      </c>
      <c r="I499" t="s">
        <v>1490</v>
      </c>
      <c r="J499">
        <v>3</v>
      </c>
      <c r="K499" t="s">
        <v>1594</v>
      </c>
      <c r="L499" t="s">
        <v>1728</v>
      </c>
      <c r="M499">
        <v>107478</v>
      </c>
      <c r="N499" t="s">
        <v>1750</v>
      </c>
      <c r="O499" t="s">
        <v>1753</v>
      </c>
      <c r="P499" t="s">
        <v>1751</v>
      </c>
      <c r="Q499">
        <f t="shared" si="7"/>
        <v>1294.9156626506024</v>
      </c>
    </row>
    <row r="500" spans="1:17" x14ac:dyDescent="0.3">
      <c r="A500" t="s">
        <v>511</v>
      </c>
      <c r="B500" t="s">
        <v>889</v>
      </c>
      <c r="C500">
        <v>64</v>
      </c>
      <c r="D500" t="s">
        <v>891</v>
      </c>
      <c r="E500" t="s">
        <v>897</v>
      </c>
      <c r="F500" t="s">
        <v>907</v>
      </c>
      <c r="G500" t="s">
        <v>931</v>
      </c>
      <c r="H500" t="s">
        <v>1315</v>
      </c>
      <c r="I500" t="s">
        <v>1433</v>
      </c>
      <c r="J500">
        <v>4</v>
      </c>
      <c r="K500" t="s">
        <v>1543</v>
      </c>
      <c r="L500" t="s">
        <v>1743</v>
      </c>
      <c r="M500">
        <v>174188</v>
      </c>
      <c r="N500" t="s">
        <v>1750</v>
      </c>
      <c r="O500" t="s">
        <v>1753</v>
      </c>
      <c r="P500" t="s">
        <v>1750</v>
      </c>
      <c r="Q500">
        <f t="shared" si="7"/>
        <v>2098.6506024096384</v>
      </c>
    </row>
    <row r="501" spans="1:17" x14ac:dyDescent="0.3">
      <c r="A501" t="s">
        <v>512</v>
      </c>
      <c r="B501" t="s">
        <v>706</v>
      </c>
      <c r="C501">
        <v>42</v>
      </c>
      <c r="D501" t="s">
        <v>891</v>
      </c>
      <c r="E501" t="s">
        <v>893</v>
      </c>
      <c r="F501" t="s">
        <v>905</v>
      </c>
      <c r="G501" t="s">
        <v>933</v>
      </c>
      <c r="H501" t="s">
        <v>973</v>
      </c>
      <c r="I501" t="s">
        <v>1491</v>
      </c>
      <c r="J501">
        <v>6</v>
      </c>
      <c r="K501" t="s">
        <v>1625</v>
      </c>
      <c r="L501" t="s">
        <v>1729</v>
      </c>
      <c r="M501">
        <v>84199</v>
      </c>
      <c r="N501" t="s">
        <v>1751</v>
      </c>
      <c r="O501" t="s">
        <v>1753</v>
      </c>
      <c r="P501" t="s">
        <v>1750</v>
      </c>
      <c r="Q501">
        <f t="shared" si="7"/>
        <v>1014.4457831325301</v>
      </c>
    </row>
    <row r="502" spans="1:17" x14ac:dyDescent="0.3">
      <c r="A502" t="s">
        <v>513</v>
      </c>
      <c r="B502" t="s">
        <v>890</v>
      </c>
      <c r="C502">
        <v>28</v>
      </c>
      <c r="D502" t="s">
        <v>892</v>
      </c>
      <c r="E502" t="s">
        <v>894</v>
      </c>
      <c r="F502" t="s">
        <v>904</v>
      </c>
      <c r="G502" t="s">
        <v>946</v>
      </c>
      <c r="H502" t="s">
        <v>1316</v>
      </c>
      <c r="I502" t="s">
        <v>1194</v>
      </c>
      <c r="J502">
        <v>1</v>
      </c>
      <c r="K502" t="s">
        <v>1496</v>
      </c>
      <c r="L502" t="s">
        <v>1742</v>
      </c>
      <c r="M502">
        <v>53033</v>
      </c>
      <c r="N502" t="s">
        <v>1751</v>
      </c>
      <c r="O502" t="s">
        <v>1753</v>
      </c>
      <c r="P502" t="s">
        <v>1751</v>
      </c>
      <c r="Q502">
        <f t="shared" si="7"/>
        <v>638.95180722891564</v>
      </c>
    </row>
    <row r="503" spans="1:17" x14ac:dyDescent="0.3">
      <c r="A503" t="s">
        <v>514</v>
      </c>
      <c r="B503" t="s">
        <v>852</v>
      </c>
      <c r="C503">
        <v>57</v>
      </c>
      <c r="D503" t="s">
        <v>892</v>
      </c>
      <c r="E503" t="s">
        <v>897</v>
      </c>
      <c r="F503" t="s">
        <v>907</v>
      </c>
      <c r="G503" t="s">
        <v>931</v>
      </c>
      <c r="H503" t="s">
        <v>1267</v>
      </c>
      <c r="I503" t="s">
        <v>1492</v>
      </c>
      <c r="J503">
        <v>36</v>
      </c>
      <c r="K503" t="s">
        <v>1720</v>
      </c>
      <c r="L503" t="s">
        <v>1727</v>
      </c>
      <c r="M503">
        <v>1346911</v>
      </c>
      <c r="N503" t="s">
        <v>1750</v>
      </c>
      <c r="O503" t="s">
        <v>1755</v>
      </c>
      <c r="P503" t="s">
        <v>1751</v>
      </c>
      <c r="Q503">
        <f t="shared" si="7"/>
        <v>16227.843373493975</v>
      </c>
    </row>
    <row r="504" spans="1:17" x14ac:dyDescent="0.3">
      <c r="A504" t="s">
        <v>515</v>
      </c>
      <c r="B504" t="s">
        <v>840</v>
      </c>
      <c r="C504">
        <v>44</v>
      </c>
      <c r="D504" t="s">
        <v>892</v>
      </c>
      <c r="E504" t="s">
        <v>894</v>
      </c>
      <c r="F504" t="s">
        <v>904</v>
      </c>
      <c r="G504" t="s">
        <v>937</v>
      </c>
      <c r="H504" t="s">
        <v>1019</v>
      </c>
      <c r="I504" t="s">
        <v>1483</v>
      </c>
      <c r="J504">
        <v>12</v>
      </c>
      <c r="K504" t="s">
        <v>1496</v>
      </c>
      <c r="L504" t="s">
        <v>1747</v>
      </c>
      <c r="M504">
        <v>190256</v>
      </c>
      <c r="N504" t="s">
        <v>1750</v>
      </c>
      <c r="O504" t="s">
        <v>1753</v>
      </c>
      <c r="P504" t="s">
        <v>1751</v>
      </c>
      <c r="Q504">
        <f t="shared" si="7"/>
        <v>2292.2409638554218</v>
      </c>
    </row>
  </sheetData>
  <autoFilter ref="A4:Q504"/>
  <mergeCells count="1">
    <mergeCell ref="A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1759</v>
      </c>
    </row>
    <row r="2" spans="1:2" x14ac:dyDescent="0.3">
      <c r="A2" t="s">
        <v>902</v>
      </c>
      <c r="B2" t="s">
        <v>1722</v>
      </c>
    </row>
    <row r="3" spans="1:2" x14ac:dyDescent="0.3">
      <c r="A3" t="s">
        <v>909</v>
      </c>
      <c r="B3" t="s">
        <v>1731</v>
      </c>
    </row>
    <row r="4" spans="1:2" x14ac:dyDescent="0.3">
      <c r="A4" t="s">
        <v>908</v>
      </c>
      <c r="B4" t="s">
        <v>1737</v>
      </c>
    </row>
    <row r="5" spans="1:2" x14ac:dyDescent="0.3">
      <c r="A5" t="s">
        <v>901</v>
      </c>
      <c r="B5" t="s">
        <v>1721</v>
      </c>
    </row>
    <row r="6" spans="1:2" x14ac:dyDescent="0.3">
      <c r="A6" t="s">
        <v>903</v>
      </c>
      <c r="B6" t="s">
        <v>1723</v>
      </c>
    </row>
    <row r="7" spans="1:2" x14ac:dyDescent="0.3">
      <c r="A7" t="s">
        <v>907</v>
      </c>
      <c r="B7" t="s">
        <v>1749</v>
      </c>
    </row>
    <row r="8" spans="1:2" x14ac:dyDescent="0.3">
      <c r="A8" t="s">
        <v>904</v>
      </c>
      <c r="B8" t="s">
        <v>1747</v>
      </c>
    </row>
    <row r="9" spans="1:2" x14ac:dyDescent="0.3">
      <c r="A9" t="s">
        <v>906</v>
      </c>
      <c r="B9" t="s">
        <v>1726</v>
      </c>
    </row>
    <row r="10" spans="1:2" x14ac:dyDescent="0.3">
      <c r="A10" t="s">
        <v>905</v>
      </c>
      <c r="B10" t="s">
        <v>1729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4"/>
  <sheetViews>
    <sheetView workbookViewId="0">
      <selection sqref="A1:H2"/>
    </sheetView>
  </sheetViews>
  <sheetFormatPr defaultRowHeight="14.4" x14ac:dyDescent="0.3"/>
  <cols>
    <col min="1" max="8" width="20.6640625" customWidth="1"/>
  </cols>
  <sheetData>
    <row r="1" spans="1:8" x14ac:dyDescent="0.3">
      <c r="A1" s="3" t="s">
        <v>1760</v>
      </c>
      <c r="B1" s="3"/>
      <c r="C1" s="3"/>
      <c r="D1" s="3"/>
      <c r="E1" s="3"/>
      <c r="F1" s="3"/>
      <c r="G1" s="3"/>
      <c r="H1" s="3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4" spans="1:8" x14ac:dyDescent="0.3">
      <c r="A4" s="2" t="s">
        <v>0</v>
      </c>
      <c r="B4" s="2" t="s">
        <v>1</v>
      </c>
      <c r="C4" s="2" t="s">
        <v>2</v>
      </c>
      <c r="D4" s="2" t="s">
        <v>5</v>
      </c>
      <c r="E4" s="2" t="s">
        <v>9</v>
      </c>
      <c r="F4" s="1" t="s">
        <v>1761</v>
      </c>
      <c r="G4" s="1" t="s">
        <v>1762</v>
      </c>
    </row>
    <row r="5" spans="1:8" x14ac:dyDescent="0.3">
      <c r="A5" t="s">
        <v>16</v>
      </c>
      <c r="B5" t="s">
        <v>516</v>
      </c>
      <c r="C5">
        <v>3</v>
      </c>
      <c r="D5" t="s">
        <v>901</v>
      </c>
      <c r="E5">
        <v>1</v>
      </c>
      <c r="F5" t="str">
        <f>VLOOKUP(D5, Lookup_Table!$A$2:$B$10, 2, FALSE)</f>
        <v>Dr. Kapoor</v>
      </c>
      <c r="G5" t="str">
        <f t="shared" ref="G5:G68" si="0">IF(C5&lt;18,"Child", IF(C5&lt;60,"Adult","Senior"))</f>
        <v>Child</v>
      </c>
    </row>
    <row r="6" spans="1:8" x14ac:dyDescent="0.3">
      <c r="A6" t="s">
        <v>17</v>
      </c>
      <c r="B6" t="s">
        <v>517</v>
      </c>
      <c r="C6">
        <v>74</v>
      </c>
      <c r="D6" t="s">
        <v>902</v>
      </c>
      <c r="E6">
        <v>15</v>
      </c>
      <c r="F6" t="str">
        <f>VLOOKUP(D6, Lookup_Table!$A$2:$B$10, 2, FALSE)</f>
        <v>Dr. Sharma</v>
      </c>
      <c r="G6" t="str">
        <f t="shared" si="0"/>
        <v>Senior</v>
      </c>
    </row>
    <row r="7" spans="1:8" x14ac:dyDescent="0.3">
      <c r="A7" t="s">
        <v>18</v>
      </c>
      <c r="B7" t="s">
        <v>518</v>
      </c>
      <c r="C7">
        <v>61</v>
      </c>
      <c r="D7" t="s">
        <v>903</v>
      </c>
      <c r="E7">
        <v>5</v>
      </c>
      <c r="F7" t="str">
        <f>VLOOKUP(D7, Lookup_Table!$A$2:$B$10, 2, FALSE)</f>
        <v>Dr. Mishra</v>
      </c>
      <c r="G7" t="str">
        <f t="shared" si="0"/>
        <v>Senior</v>
      </c>
    </row>
    <row r="8" spans="1:8" x14ac:dyDescent="0.3">
      <c r="A8" t="s">
        <v>19</v>
      </c>
      <c r="B8" t="s">
        <v>519</v>
      </c>
      <c r="C8">
        <v>27</v>
      </c>
      <c r="D8" t="s">
        <v>904</v>
      </c>
      <c r="E8">
        <v>2</v>
      </c>
      <c r="F8" t="str">
        <f>VLOOKUP(D8, Lookup_Table!$A$2:$B$10, 2, FALSE)</f>
        <v>Dr. Deshmukh</v>
      </c>
      <c r="G8" t="str">
        <f t="shared" si="0"/>
        <v>Adult</v>
      </c>
    </row>
    <row r="9" spans="1:8" x14ac:dyDescent="0.3">
      <c r="A9" t="s">
        <v>20</v>
      </c>
      <c r="B9" t="s">
        <v>520</v>
      </c>
      <c r="C9">
        <v>76</v>
      </c>
      <c r="D9" t="s">
        <v>905</v>
      </c>
      <c r="E9">
        <v>1</v>
      </c>
      <c r="F9" t="str">
        <f>VLOOKUP(D9, Lookup_Table!$A$2:$B$10, 2, FALSE)</f>
        <v>Dr. Gupta</v>
      </c>
      <c r="G9" t="str">
        <f t="shared" si="0"/>
        <v>Senior</v>
      </c>
    </row>
    <row r="10" spans="1:8" x14ac:dyDescent="0.3">
      <c r="A10" t="s">
        <v>21</v>
      </c>
      <c r="B10" t="s">
        <v>521</v>
      </c>
      <c r="C10">
        <v>77</v>
      </c>
      <c r="D10" t="s">
        <v>906</v>
      </c>
      <c r="E10">
        <v>1</v>
      </c>
      <c r="F10" t="str">
        <f>VLOOKUP(D10, Lookup_Table!$A$2:$B$10, 2, FALSE)</f>
        <v>Dr. Menon</v>
      </c>
      <c r="G10" t="str">
        <f t="shared" si="0"/>
        <v>Senior</v>
      </c>
    </row>
    <row r="11" spans="1:8" x14ac:dyDescent="0.3">
      <c r="A11" t="s">
        <v>22</v>
      </c>
      <c r="B11" t="s">
        <v>522</v>
      </c>
      <c r="C11">
        <v>38</v>
      </c>
      <c r="D11" t="s">
        <v>907</v>
      </c>
      <c r="E11">
        <v>1</v>
      </c>
      <c r="F11" t="str">
        <f>VLOOKUP(D11, Lookup_Table!$A$2:$B$10, 2, FALSE)</f>
        <v>Dr. Chatterjee</v>
      </c>
      <c r="G11" t="str">
        <f t="shared" si="0"/>
        <v>Adult</v>
      </c>
    </row>
    <row r="12" spans="1:8" x14ac:dyDescent="0.3">
      <c r="A12" t="s">
        <v>23</v>
      </c>
      <c r="B12" t="s">
        <v>523</v>
      </c>
      <c r="C12">
        <v>67</v>
      </c>
      <c r="D12" t="s">
        <v>908</v>
      </c>
      <c r="E12">
        <v>12</v>
      </c>
      <c r="F12" t="str">
        <f>VLOOKUP(D12, Lookup_Table!$A$2:$B$10, 2, FALSE)</f>
        <v>Dr. Rao</v>
      </c>
      <c r="G12" t="str">
        <f t="shared" si="0"/>
        <v>Senior</v>
      </c>
    </row>
    <row r="13" spans="1:8" x14ac:dyDescent="0.3">
      <c r="A13" t="s">
        <v>24</v>
      </c>
      <c r="B13" t="s">
        <v>524</v>
      </c>
      <c r="C13">
        <v>37</v>
      </c>
      <c r="D13" t="s">
        <v>905</v>
      </c>
      <c r="E13">
        <v>6</v>
      </c>
      <c r="F13" t="str">
        <f>VLOOKUP(D13, Lookup_Table!$A$2:$B$10, 2, FALSE)</f>
        <v>Dr. Gupta</v>
      </c>
      <c r="G13" t="str">
        <f t="shared" si="0"/>
        <v>Adult</v>
      </c>
    </row>
    <row r="14" spans="1:8" x14ac:dyDescent="0.3">
      <c r="A14" t="s">
        <v>25</v>
      </c>
      <c r="B14" t="s">
        <v>525</v>
      </c>
      <c r="C14">
        <v>32</v>
      </c>
      <c r="D14" t="s">
        <v>906</v>
      </c>
      <c r="E14">
        <v>6</v>
      </c>
      <c r="F14" t="str">
        <f>VLOOKUP(D14, Lookup_Table!$A$2:$B$10, 2, FALSE)</f>
        <v>Dr. Menon</v>
      </c>
      <c r="G14" t="str">
        <f t="shared" si="0"/>
        <v>Adult</v>
      </c>
    </row>
    <row r="15" spans="1:8" x14ac:dyDescent="0.3">
      <c r="A15" t="s">
        <v>26</v>
      </c>
      <c r="B15" t="s">
        <v>526</v>
      </c>
      <c r="C15">
        <v>31</v>
      </c>
      <c r="D15" t="s">
        <v>906</v>
      </c>
      <c r="E15">
        <v>1</v>
      </c>
      <c r="F15" t="str">
        <f>VLOOKUP(D15, Lookup_Table!$A$2:$B$10, 2, FALSE)</f>
        <v>Dr. Menon</v>
      </c>
      <c r="G15" t="str">
        <f t="shared" si="0"/>
        <v>Adult</v>
      </c>
    </row>
    <row r="16" spans="1:8" x14ac:dyDescent="0.3">
      <c r="A16" t="s">
        <v>27</v>
      </c>
      <c r="B16" t="s">
        <v>527</v>
      </c>
      <c r="C16">
        <v>64</v>
      </c>
      <c r="D16" t="s">
        <v>909</v>
      </c>
      <c r="E16">
        <v>7</v>
      </c>
      <c r="F16" t="str">
        <f>VLOOKUP(D16, Lookup_Table!$A$2:$B$10, 2, FALSE)</f>
        <v>Dr. Tiwari</v>
      </c>
      <c r="G16" t="str">
        <f t="shared" si="0"/>
        <v>Senior</v>
      </c>
    </row>
    <row r="17" spans="1:7" x14ac:dyDescent="0.3">
      <c r="A17" t="s">
        <v>28</v>
      </c>
      <c r="B17" t="s">
        <v>528</v>
      </c>
      <c r="C17">
        <v>45</v>
      </c>
      <c r="D17" t="s">
        <v>908</v>
      </c>
      <c r="E17">
        <v>10</v>
      </c>
      <c r="F17" t="str">
        <f>VLOOKUP(D17, Lookup_Table!$A$2:$B$10, 2, FALSE)</f>
        <v>Dr. Rao</v>
      </c>
      <c r="G17" t="str">
        <f t="shared" si="0"/>
        <v>Adult</v>
      </c>
    </row>
    <row r="18" spans="1:7" x14ac:dyDescent="0.3">
      <c r="A18" t="s">
        <v>29</v>
      </c>
      <c r="B18" t="s">
        <v>529</v>
      </c>
      <c r="C18">
        <v>33</v>
      </c>
      <c r="D18" t="s">
        <v>909</v>
      </c>
      <c r="E18">
        <v>1</v>
      </c>
      <c r="F18" t="str">
        <f>VLOOKUP(D18, Lookup_Table!$A$2:$B$10, 2, FALSE)</f>
        <v>Dr. Tiwari</v>
      </c>
      <c r="G18" t="str">
        <f t="shared" si="0"/>
        <v>Adult</v>
      </c>
    </row>
    <row r="19" spans="1:7" x14ac:dyDescent="0.3">
      <c r="A19" t="s">
        <v>30</v>
      </c>
      <c r="B19" t="s">
        <v>530</v>
      </c>
      <c r="C19">
        <v>65</v>
      </c>
      <c r="D19" t="s">
        <v>902</v>
      </c>
      <c r="E19">
        <v>1</v>
      </c>
      <c r="F19" t="str">
        <f>VLOOKUP(D19, Lookup_Table!$A$2:$B$10, 2, FALSE)</f>
        <v>Dr. Sharma</v>
      </c>
      <c r="G19" t="str">
        <f t="shared" si="0"/>
        <v>Senior</v>
      </c>
    </row>
    <row r="20" spans="1:7" x14ac:dyDescent="0.3">
      <c r="A20" t="s">
        <v>31</v>
      </c>
      <c r="B20" t="s">
        <v>531</v>
      </c>
      <c r="C20">
        <v>72</v>
      </c>
      <c r="D20" t="s">
        <v>905</v>
      </c>
      <c r="E20">
        <v>1</v>
      </c>
      <c r="F20" t="str">
        <f>VLOOKUP(D20, Lookup_Table!$A$2:$B$10, 2, FALSE)</f>
        <v>Dr. Gupta</v>
      </c>
      <c r="G20" t="str">
        <f t="shared" si="0"/>
        <v>Senior</v>
      </c>
    </row>
    <row r="21" spans="1:7" x14ac:dyDescent="0.3">
      <c r="A21" t="s">
        <v>32</v>
      </c>
      <c r="B21" t="s">
        <v>532</v>
      </c>
      <c r="C21">
        <v>4</v>
      </c>
      <c r="D21" t="s">
        <v>901</v>
      </c>
      <c r="E21">
        <v>1</v>
      </c>
      <c r="F21" t="str">
        <f>VLOOKUP(D21, Lookup_Table!$A$2:$B$10, 2, FALSE)</f>
        <v>Dr. Kapoor</v>
      </c>
      <c r="G21" t="str">
        <f t="shared" si="0"/>
        <v>Child</v>
      </c>
    </row>
    <row r="22" spans="1:7" x14ac:dyDescent="0.3">
      <c r="A22" t="s">
        <v>33</v>
      </c>
      <c r="B22" t="s">
        <v>533</v>
      </c>
      <c r="C22">
        <v>45</v>
      </c>
      <c r="D22" t="s">
        <v>902</v>
      </c>
      <c r="E22">
        <v>3</v>
      </c>
      <c r="F22" t="str">
        <f>VLOOKUP(D22, Lookup_Table!$A$2:$B$10, 2, FALSE)</f>
        <v>Dr. Sharma</v>
      </c>
      <c r="G22" t="str">
        <f t="shared" si="0"/>
        <v>Adult</v>
      </c>
    </row>
    <row r="23" spans="1:7" x14ac:dyDescent="0.3">
      <c r="A23" t="s">
        <v>34</v>
      </c>
      <c r="B23" t="s">
        <v>534</v>
      </c>
      <c r="C23">
        <v>37</v>
      </c>
      <c r="D23" t="s">
        <v>903</v>
      </c>
      <c r="E23">
        <v>2</v>
      </c>
      <c r="F23" t="str">
        <f>VLOOKUP(D23, Lookup_Table!$A$2:$B$10, 2, FALSE)</f>
        <v>Dr. Mishra</v>
      </c>
      <c r="G23" t="str">
        <f t="shared" si="0"/>
        <v>Adult</v>
      </c>
    </row>
    <row r="24" spans="1:7" x14ac:dyDescent="0.3">
      <c r="A24" t="s">
        <v>35</v>
      </c>
      <c r="B24" t="s">
        <v>535</v>
      </c>
      <c r="C24">
        <v>25</v>
      </c>
      <c r="D24" t="s">
        <v>906</v>
      </c>
      <c r="E24">
        <v>1</v>
      </c>
      <c r="F24" t="str">
        <f>VLOOKUP(D24, Lookup_Table!$A$2:$B$10, 2, FALSE)</f>
        <v>Dr. Menon</v>
      </c>
      <c r="G24" t="str">
        <f t="shared" si="0"/>
        <v>Adult</v>
      </c>
    </row>
    <row r="25" spans="1:7" x14ac:dyDescent="0.3">
      <c r="A25" t="s">
        <v>36</v>
      </c>
      <c r="B25" t="s">
        <v>536</v>
      </c>
      <c r="C25">
        <v>61</v>
      </c>
      <c r="D25" t="s">
        <v>902</v>
      </c>
      <c r="E25">
        <v>4</v>
      </c>
      <c r="F25" t="str">
        <f>VLOOKUP(D25, Lookup_Table!$A$2:$B$10, 2, FALSE)</f>
        <v>Dr. Sharma</v>
      </c>
      <c r="G25" t="str">
        <f t="shared" si="0"/>
        <v>Senior</v>
      </c>
    </row>
    <row r="26" spans="1:7" x14ac:dyDescent="0.3">
      <c r="A26" t="s">
        <v>37</v>
      </c>
      <c r="B26" t="s">
        <v>537</v>
      </c>
      <c r="C26">
        <v>55</v>
      </c>
      <c r="D26" t="s">
        <v>908</v>
      </c>
      <c r="E26">
        <v>1</v>
      </c>
      <c r="F26" t="str">
        <f>VLOOKUP(D26, Lookup_Table!$A$2:$B$10, 2, FALSE)</f>
        <v>Dr. Rao</v>
      </c>
      <c r="G26" t="str">
        <f t="shared" si="0"/>
        <v>Adult</v>
      </c>
    </row>
    <row r="27" spans="1:7" x14ac:dyDescent="0.3">
      <c r="A27" t="s">
        <v>38</v>
      </c>
      <c r="B27" t="s">
        <v>538</v>
      </c>
      <c r="C27">
        <v>54</v>
      </c>
      <c r="D27" t="s">
        <v>905</v>
      </c>
      <c r="E27">
        <v>2</v>
      </c>
      <c r="F27" t="str">
        <f>VLOOKUP(D27, Lookup_Table!$A$2:$B$10, 2, FALSE)</f>
        <v>Dr. Gupta</v>
      </c>
      <c r="G27" t="str">
        <f t="shared" si="0"/>
        <v>Adult</v>
      </c>
    </row>
    <row r="28" spans="1:7" x14ac:dyDescent="0.3">
      <c r="A28" t="s">
        <v>39</v>
      </c>
      <c r="B28" t="s">
        <v>539</v>
      </c>
      <c r="C28">
        <v>37</v>
      </c>
      <c r="D28" t="s">
        <v>903</v>
      </c>
      <c r="E28">
        <v>1</v>
      </c>
      <c r="F28" t="str">
        <f>VLOOKUP(D28, Lookup_Table!$A$2:$B$10, 2, FALSE)</f>
        <v>Dr. Mishra</v>
      </c>
      <c r="G28" t="str">
        <f t="shared" si="0"/>
        <v>Adult</v>
      </c>
    </row>
    <row r="29" spans="1:7" x14ac:dyDescent="0.3">
      <c r="A29" t="s">
        <v>40</v>
      </c>
      <c r="B29" t="s">
        <v>540</v>
      </c>
      <c r="C29">
        <v>72</v>
      </c>
      <c r="D29" t="s">
        <v>903</v>
      </c>
      <c r="E29">
        <v>2</v>
      </c>
      <c r="F29" t="str">
        <f>VLOOKUP(D29, Lookup_Table!$A$2:$B$10, 2, FALSE)</f>
        <v>Dr. Mishra</v>
      </c>
      <c r="G29" t="str">
        <f t="shared" si="0"/>
        <v>Senior</v>
      </c>
    </row>
    <row r="30" spans="1:7" x14ac:dyDescent="0.3">
      <c r="A30" t="s">
        <v>41</v>
      </c>
      <c r="B30" t="s">
        <v>541</v>
      </c>
      <c r="C30">
        <v>27</v>
      </c>
      <c r="D30" t="s">
        <v>906</v>
      </c>
      <c r="E30">
        <v>7</v>
      </c>
      <c r="F30" t="str">
        <f>VLOOKUP(D30, Lookup_Table!$A$2:$B$10, 2, FALSE)</f>
        <v>Dr. Menon</v>
      </c>
      <c r="G30" t="str">
        <f t="shared" si="0"/>
        <v>Adult</v>
      </c>
    </row>
    <row r="31" spans="1:7" x14ac:dyDescent="0.3">
      <c r="A31" t="s">
        <v>42</v>
      </c>
      <c r="B31" t="s">
        <v>542</v>
      </c>
      <c r="C31">
        <v>48</v>
      </c>
      <c r="D31" t="s">
        <v>907</v>
      </c>
      <c r="E31">
        <v>2</v>
      </c>
      <c r="F31" t="str">
        <f>VLOOKUP(D31, Lookup_Table!$A$2:$B$10, 2, FALSE)</f>
        <v>Dr. Chatterjee</v>
      </c>
      <c r="G31" t="str">
        <f t="shared" si="0"/>
        <v>Adult</v>
      </c>
    </row>
    <row r="32" spans="1:7" x14ac:dyDescent="0.3">
      <c r="A32" t="s">
        <v>43</v>
      </c>
      <c r="B32" t="s">
        <v>543</v>
      </c>
      <c r="C32">
        <v>46</v>
      </c>
      <c r="D32" t="s">
        <v>908</v>
      </c>
      <c r="E32">
        <v>4</v>
      </c>
      <c r="F32" t="str">
        <f>VLOOKUP(D32, Lookup_Table!$A$2:$B$10, 2, FALSE)</f>
        <v>Dr. Rao</v>
      </c>
      <c r="G32" t="str">
        <f t="shared" si="0"/>
        <v>Adult</v>
      </c>
    </row>
    <row r="33" spans="1:7" x14ac:dyDescent="0.3">
      <c r="A33" t="s">
        <v>44</v>
      </c>
      <c r="B33" t="s">
        <v>544</v>
      </c>
      <c r="C33">
        <v>76</v>
      </c>
      <c r="D33" t="s">
        <v>909</v>
      </c>
      <c r="E33">
        <v>1</v>
      </c>
      <c r="F33" t="str">
        <f>VLOOKUP(D33, Lookup_Table!$A$2:$B$10, 2, FALSE)</f>
        <v>Dr. Tiwari</v>
      </c>
      <c r="G33" t="str">
        <f t="shared" si="0"/>
        <v>Senior</v>
      </c>
    </row>
    <row r="34" spans="1:7" x14ac:dyDescent="0.3">
      <c r="A34" t="s">
        <v>45</v>
      </c>
      <c r="B34" t="s">
        <v>545</v>
      </c>
      <c r="C34">
        <v>60</v>
      </c>
      <c r="D34" t="s">
        <v>906</v>
      </c>
      <c r="E34">
        <v>1</v>
      </c>
      <c r="F34" t="str">
        <f>VLOOKUP(D34, Lookup_Table!$A$2:$B$10, 2, FALSE)</f>
        <v>Dr. Menon</v>
      </c>
      <c r="G34" t="str">
        <f t="shared" si="0"/>
        <v>Senior</v>
      </c>
    </row>
    <row r="35" spans="1:7" x14ac:dyDescent="0.3">
      <c r="A35" t="s">
        <v>46</v>
      </c>
      <c r="B35" t="s">
        <v>546</v>
      </c>
      <c r="C35">
        <v>42</v>
      </c>
      <c r="D35" t="s">
        <v>906</v>
      </c>
      <c r="E35">
        <v>4</v>
      </c>
      <c r="F35" t="str">
        <f>VLOOKUP(D35, Lookup_Table!$A$2:$B$10, 2, FALSE)</f>
        <v>Dr. Menon</v>
      </c>
      <c r="G35" t="str">
        <f t="shared" si="0"/>
        <v>Adult</v>
      </c>
    </row>
    <row r="36" spans="1:7" x14ac:dyDescent="0.3">
      <c r="A36" t="s">
        <v>47</v>
      </c>
      <c r="B36" t="s">
        <v>547</v>
      </c>
      <c r="C36">
        <v>58</v>
      </c>
      <c r="D36" t="s">
        <v>905</v>
      </c>
      <c r="E36">
        <v>1</v>
      </c>
      <c r="F36" t="str">
        <f>VLOOKUP(D36, Lookup_Table!$A$2:$B$10, 2, FALSE)</f>
        <v>Dr. Gupta</v>
      </c>
      <c r="G36" t="str">
        <f t="shared" si="0"/>
        <v>Adult</v>
      </c>
    </row>
    <row r="37" spans="1:7" x14ac:dyDescent="0.3">
      <c r="A37" t="s">
        <v>48</v>
      </c>
      <c r="B37" t="s">
        <v>548</v>
      </c>
      <c r="C37">
        <v>72</v>
      </c>
      <c r="D37" t="s">
        <v>908</v>
      </c>
      <c r="E37">
        <v>1</v>
      </c>
      <c r="F37" t="str">
        <f>VLOOKUP(D37, Lookup_Table!$A$2:$B$10, 2, FALSE)</f>
        <v>Dr. Rao</v>
      </c>
      <c r="G37" t="str">
        <f t="shared" si="0"/>
        <v>Senior</v>
      </c>
    </row>
    <row r="38" spans="1:7" x14ac:dyDescent="0.3">
      <c r="A38" t="s">
        <v>49</v>
      </c>
      <c r="B38" t="s">
        <v>549</v>
      </c>
      <c r="C38">
        <v>38</v>
      </c>
      <c r="D38" t="s">
        <v>904</v>
      </c>
      <c r="E38">
        <v>8</v>
      </c>
      <c r="F38" t="str">
        <f>VLOOKUP(D38, Lookup_Table!$A$2:$B$10, 2, FALSE)</f>
        <v>Dr. Deshmukh</v>
      </c>
      <c r="G38" t="str">
        <f t="shared" si="0"/>
        <v>Adult</v>
      </c>
    </row>
    <row r="39" spans="1:7" x14ac:dyDescent="0.3">
      <c r="A39" t="s">
        <v>50</v>
      </c>
      <c r="B39" t="s">
        <v>550</v>
      </c>
      <c r="C39">
        <v>29</v>
      </c>
      <c r="D39" t="s">
        <v>906</v>
      </c>
      <c r="E39">
        <v>16</v>
      </c>
      <c r="F39" t="str">
        <f>VLOOKUP(D39, Lookup_Table!$A$2:$B$10, 2, FALSE)</f>
        <v>Dr. Menon</v>
      </c>
      <c r="G39" t="str">
        <f t="shared" si="0"/>
        <v>Adult</v>
      </c>
    </row>
    <row r="40" spans="1:7" x14ac:dyDescent="0.3">
      <c r="A40" t="s">
        <v>51</v>
      </c>
      <c r="B40" t="s">
        <v>551</v>
      </c>
      <c r="C40">
        <v>67</v>
      </c>
      <c r="D40" t="s">
        <v>909</v>
      </c>
      <c r="E40">
        <v>3</v>
      </c>
      <c r="F40" t="str">
        <f>VLOOKUP(D40, Lookup_Table!$A$2:$B$10, 2, FALSE)</f>
        <v>Dr. Tiwari</v>
      </c>
      <c r="G40" t="str">
        <f t="shared" si="0"/>
        <v>Senior</v>
      </c>
    </row>
    <row r="41" spans="1:7" x14ac:dyDescent="0.3">
      <c r="A41" t="s">
        <v>52</v>
      </c>
      <c r="B41" t="s">
        <v>552</v>
      </c>
      <c r="C41">
        <v>36</v>
      </c>
      <c r="D41" t="s">
        <v>908</v>
      </c>
      <c r="E41">
        <v>2</v>
      </c>
      <c r="F41" t="str">
        <f>VLOOKUP(D41, Lookup_Table!$A$2:$B$10, 2, FALSE)</f>
        <v>Dr. Rao</v>
      </c>
      <c r="G41" t="str">
        <f t="shared" si="0"/>
        <v>Adult</v>
      </c>
    </row>
    <row r="42" spans="1:7" x14ac:dyDescent="0.3">
      <c r="A42" t="s">
        <v>53</v>
      </c>
      <c r="B42" t="s">
        <v>553</v>
      </c>
      <c r="C42">
        <v>75</v>
      </c>
      <c r="D42" t="s">
        <v>906</v>
      </c>
      <c r="E42">
        <v>1</v>
      </c>
      <c r="F42" t="str">
        <f>VLOOKUP(D42, Lookup_Table!$A$2:$B$10, 2, FALSE)</f>
        <v>Dr. Menon</v>
      </c>
      <c r="G42" t="str">
        <f t="shared" si="0"/>
        <v>Senior</v>
      </c>
    </row>
    <row r="43" spans="1:7" x14ac:dyDescent="0.3">
      <c r="A43" t="s">
        <v>54</v>
      </c>
      <c r="B43" t="s">
        <v>554</v>
      </c>
      <c r="C43">
        <v>48</v>
      </c>
      <c r="D43" t="s">
        <v>909</v>
      </c>
      <c r="E43">
        <v>2</v>
      </c>
      <c r="F43" t="str">
        <f>VLOOKUP(D43, Lookup_Table!$A$2:$B$10, 2, FALSE)</f>
        <v>Dr. Tiwari</v>
      </c>
      <c r="G43" t="str">
        <f t="shared" si="0"/>
        <v>Adult</v>
      </c>
    </row>
    <row r="44" spans="1:7" x14ac:dyDescent="0.3">
      <c r="A44" t="s">
        <v>55</v>
      </c>
      <c r="B44" t="s">
        <v>555</v>
      </c>
      <c r="C44">
        <v>35</v>
      </c>
      <c r="D44" t="s">
        <v>904</v>
      </c>
      <c r="E44">
        <v>1</v>
      </c>
      <c r="F44" t="str">
        <f>VLOOKUP(D44, Lookup_Table!$A$2:$B$10, 2, FALSE)</f>
        <v>Dr. Deshmukh</v>
      </c>
      <c r="G44" t="str">
        <f t="shared" si="0"/>
        <v>Adult</v>
      </c>
    </row>
    <row r="45" spans="1:7" x14ac:dyDescent="0.3">
      <c r="A45" t="s">
        <v>56</v>
      </c>
      <c r="B45" t="s">
        <v>556</v>
      </c>
      <c r="C45">
        <v>56</v>
      </c>
      <c r="D45" t="s">
        <v>909</v>
      </c>
      <c r="E45">
        <v>1</v>
      </c>
      <c r="F45" t="str">
        <f>VLOOKUP(D45, Lookup_Table!$A$2:$B$10, 2, FALSE)</f>
        <v>Dr. Tiwari</v>
      </c>
      <c r="G45" t="str">
        <f t="shared" si="0"/>
        <v>Adult</v>
      </c>
    </row>
    <row r="46" spans="1:7" x14ac:dyDescent="0.3">
      <c r="A46" t="s">
        <v>57</v>
      </c>
      <c r="B46" t="s">
        <v>557</v>
      </c>
      <c r="C46">
        <v>68</v>
      </c>
      <c r="D46" t="s">
        <v>909</v>
      </c>
      <c r="E46">
        <v>1</v>
      </c>
      <c r="F46" t="str">
        <f>VLOOKUP(D46, Lookup_Table!$A$2:$B$10, 2, FALSE)</f>
        <v>Dr. Tiwari</v>
      </c>
      <c r="G46" t="str">
        <f t="shared" si="0"/>
        <v>Senior</v>
      </c>
    </row>
    <row r="47" spans="1:7" x14ac:dyDescent="0.3">
      <c r="A47" t="s">
        <v>58</v>
      </c>
      <c r="B47" t="s">
        <v>537</v>
      </c>
      <c r="C47">
        <v>56</v>
      </c>
      <c r="D47" t="s">
        <v>907</v>
      </c>
      <c r="E47">
        <v>1</v>
      </c>
      <c r="F47" t="str">
        <f>VLOOKUP(D47, Lookup_Table!$A$2:$B$10, 2, FALSE)</f>
        <v>Dr. Chatterjee</v>
      </c>
      <c r="G47" t="str">
        <f t="shared" si="0"/>
        <v>Adult</v>
      </c>
    </row>
    <row r="48" spans="1:7" x14ac:dyDescent="0.3">
      <c r="A48" t="s">
        <v>59</v>
      </c>
      <c r="B48" t="s">
        <v>558</v>
      </c>
      <c r="C48">
        <v>38</v>
      </c>
      <c r="D48" t="s">
        <v>907</v>
      </c>
      <c r="E48">
        <v>24</v>
      </c>
      <c r="F48" t="str">
        <f>VLOOKUP(D48, Lookup_Table!$A$2:$B$10, 2, FALSE)</f>
        <v>Dr. Chatterjee</v>
      </c>
      <c r="G48" t="str">
        <f t="shared" si="0"/>
        <v>Adult</v>
      </c>
    </row>
    <row r="49" spans="1:7" x14ac:dyDescent="0.3">
      <c r="A49" t="s">
        <v>60</v>
      </c>
      <c r="B49" t="s">
        <v>559</v>
      </c>
      <c r="C49">
        <v>77</v>
      </c>
      <c r="D49" t="s">
        <v>909</v>
      </c>
      <c r="E49">
        <v>1</v>
      </c>
      <c r="F49" t="str">
        <f>VLOOKUP(D49, Lookup_Table!$A$2:$B$10, 2, FALSE)</f>
        <v>Dr. Tiwari</v>
      </c>
      <c r="G49" t="str">
        <f t="shared" si="0"/>
        <v>Senior</v>
      </c>
    </row>
    <row r="50" spans="1:7" x14ac:dyDescent="0.3">
      <c r="A50" t="s">
        <v>61</v>
      </c>
      <c r="B50" t="s">
        <v>560</v>
      </c>
      <c r="C50">
        <v>72</v>
      </c>
      <c r="D50" t="s">
        <v>902</v>
      </c>
      <c r="E50">
        <v>5</v>
      </c>
      <c r="F50" t="str">
        <f>VLOOKUP(D50, Lookup_Table!$A$2:$B$10, 2, FALSE)</f>
        <v>Dr. Sharma</v>
      </c>
      <c r="G50" t="str">
        <f t="shared" si="0"/>
        <v>Senior</v>
      </c>
    </row>
    <row r="51" spans="1:7" x14ac:dyDescent="0.3">
      <c r="A51" t="s">
        <v>62</v>
      </c>
      <c r="B51" t="s">
        <v>561</v>
      </c>
      <c r="C51">
        <v>62</v>
      </c>
      <c r="D51" t="s">
        <v>905</v>
      </c>
      <c r="E51">
        <v>2</v>
      </c>
      <c r="F51" t="str">
        <f>VLOOKUP(D51, Lookup_Table!$A$2:$B$10, 2, FALSE)</f>
        <v>Dr. Gupta</v>
      </c>
      <c r="G51" t="str">
        <f t="shared" si="0"/>
        <v>Senior</v>
      </c>
    </row>
    <row r="52" spans="1:7" x14ac:dyDescent="0.3">
      <c r="A52" t="s">
        <v>63</v>
      </c>
      <c r="B52" t="s">
        <v>562</v>
      </c>
      <c r="C52">
        <v>44</v>
      </c>
      <c r="D52" t="s">
        <v>904</v>
      </c>
      <c r="E52">
        <v>2</v>
      </c>
      <c r="F52" t="str">
        <f>VLOOKUP(D52, Lookup_Table!$A$2:$B$10, 2, FALSE)</f>
        <v>Dr. Deshmukh</v>
      </c>
      <c r="G52" t="str">
        <f t="shared" si="0"/>
        <v>Adult</v>
      </c>
    </row>
    <row r="53" spans="1:7" x14ac:dyDescent="0.3">
      <c r="A53" t="s">
        <v>64</v>
      </c>
      <c r="B53" t="s">
        <v>563</v>
      </c>
      <c r="C53">
        <v>29</v>
      </c>
      <c r="D53" t="s">
        <v>903</v>
      </c>
      <c r="E53">
        <v>3</v>
      </c>
      <c r="F53" t="str">
        <f>VLOOKUP(D53, Lookup_Table!$A$2:$B$10, 2, FALSE)</f>
        <v>Dr. Mishra</v>
      </c>
      <c r="G53" t="str">
        <f t="shared" si="0"/>
        <v>Adult</v>
      </c>
    </row>
    <row r="54" spans="1:7" x14ac:dyDescent="0.3">
      <c r="A54" t="s">
        <v>65</v>
      </c>
      <c r="B54" t="s">
        <v>564</v>
      </c>
      <c r="C54">
        <v>10</v>
      </c>
      <c r="D54" t="s">
        <v>901</v>
      </c>
      <c r="E54">
        <v>1</v>
      </c>
      <c r="F54" t="str">
        <f>VLOOKUP(D54, Lookup_Table!$A$2:$B$10, 2, FALSE)</f>
        <v>Dr. Kapoor</v>
      </c>
      <c r="G54" t="str">
        <f t="shared" si="0"/>
        <v>Child</v>
      </c>
    </row>
    <row r="55" spans="1:7" x14ac:dyDescent="0.3">
      <c r="A55" t="s">
        <v>66</v>
      </c>
      <c r="B55" t="s">
        <v>565</v>
      </c>
      <c r="C55">
        <v>78</v>
      </c>
      <c r="D55" t="s">
        <v>909</v>
      </c>
      <c r="E55">
        <v>6</v>
      </c>
      <c r="F55" t="str">
        <f>VLOOKUP(D55, Lookup_Table!$A$2:$B$10, 2, FALSE)</f>
        <v>Dr. Tiwari</v>
      </c>
      <c r="G55" t="str">
        <f t="shared" si="0"/>
        <v>Senior</v>
      </c>
    </row>
    <row r="56" spans="1:7" x14ac:dyDescent="0.3">
      <c r="A56" t="s">
        <v>67</v>
      </c>
      <c r="B56" t="s">
        <v>566</v>
      </c>
      <c r="C56">
        <v>60</v>
      </c>
      <c r="D56" t="s">
        <v>906</v>
      </c>
      <c r="E56">
        <v>7</v>
      </c>
      <c r="F56" t="str">
        <f>VLOOKUP(D56, Lookup_Table!$A$2:$B$10, 2, FALSE)</f>
        <v>Dr. Menon</v>
      </c>
      <c r="G56" t="str">
        <f t="shared" si="0"/>
        <v>Senior</v>
      </c>
    </row>
    <row r="57" spans="1:7" x14ac:dyDescent="0.3">
      <c r="A57" t="s">
        <v>68</v>
      </c>
      <c r="B57" t="s">
        <v>567</v>
      </c>
      <c r="C57">
        <v>15</v>
      </c>
      <c r="D57" t="s">
        <v>901</v>
      </c>
      <c r="E57">
        <v>8</v>
      </c>
      <c r="F57" t="str">
        <f>VLOOKUP(D57, Lookup_Table!$A$2:$B$10, 2, FALSE)</f>
        <v>Dr. Kapoor</v>
      </c>
      <c r="G57" t="str">
        <f t="shared" si="0"/>
        <v>Child</v>
      </c>
    </row>
    <row r="58" spans="1:7" x14ac:dyDescent="0.3">
      <c r="A58" t="s">
        <v>69</v>
      </c>
      <c r="B58" t="s">
        <v>568</v>
      </c>
      <c r="C58">
        <v>31</v>
      </c>
      <c r="D58" t="s">
        <v>907</v>
      </c>
      <c r="E58">
        <v>22</v>
      </c>
      <c r="F58" t="str">
        <f>VLOOKUP(D58, Lookup_Table!$A$2:$B$10, 2, FALSE)</f>
        <v>Dr. Chatterjee</v>
      </c>
      <c r="G58" t="str">
        <f t="shared" si="0"/>
        <v>Adult</v>
      </c>
    </row>
    <row r="59" spans="1:7" x14ac:dyDescent="0.3">
      <c r="A59" t="s">
        <v>70</v>
      </c>
      <c r="B59" t="s">
        <v>569</v>
      </c>
      <c r="C59">
        <v>63</v>
      </c>
      <c r="D59" t="s">
        <v>902</v>
      </c>
      <c r="E59">
        <v>4</v>
      </c>
      <c r="F59" t="str">
        <f>VLOOKUP(D59, Lookup_Table!$A$2:$B$10, 2, FALSE)</f>
        <v>Dr. Sharma</v>
      </c>
      <c r="G59" t="str">
        <f t="shared" si="0"/>
        <v>Senior</v>
      </c>
    </row>
    <row r="60" spans="1:7" x14ac:dyDescent="0.3">
      <c r="A60" t="s">
        <v>71</v>
      </c>
      <c r="B60" t="s">
        <v>570</v>
      </c>
      <c r="C60">
        <v>24</v>
      </c>
      <c r="D60" t="s">
        <v>905</v>
      </c>
      <c r="E60">
        <v>17</v>
      </c>
      <c r="F60" t="str">
        <f>VLOOKUP(D60, Lookup_Table!$A$2:$B$10, 2, FALSE)</f>
        <v>Dr. Gupta</v>
      </c>
      <c r="G60" t="str">
        <f t="shared" si="0"/>
        <v>Adult</v>
      </c>
    </row>
    <row r="61" spans="1:7" x14ac:dyDescent="0.3">
      <c r="A61" t="s">
        <v>72</v>
      </c>
      <c r="B61" t="s">
        <v>571</v>
      </c>
      <c r="C61">
        <v>14</v>
      </c>
      <c r="D61" t="s">
        <v>901</v>
      </c>
      <c r="E61">
        <v>1</v>
      </c>
      <c r="F61" t="str">
        <f>VLOOKUP(D61, Lookup_Table!$A$2:$B$10, 2, FALSE)</f>
        <v>Dr. Kapoor</v>
      </c>
      <c r="G61" t="str">
        <f t="shared" si="0"/>
        <v>Child</v>
      </c>
    </row>
    <row r="62" spans="1:7" x14ac:dyDescent="0.3">
      <c r="A62" t="s">
        <v>73</v>
      </c>
      <c r="B62" t="s">
        <v>572</v>
      </c>
      <c r="C62">
        <v>48</v>
      </c>
      <c r="D62" t="s">
        <v>903</v>
      </c>
      <c r="E62">
        <v>1</v>
      </c>
      <c r="F62" t="str">
        <f>VLOOKUP(D62, Lookup_Table!$A$2:$B$10, 2, FALSE)</f>
        <v>Dr. Mishra</v>
      </c>
      <c r="G62" t="str">
        <f t="shared" si="0"/>
        <v>Adult</v>
      </c>
    </row>
    <row r="63" spans="1:7" x14ac:dyDescent="0.3">
      <c r="A63" t="s">
        <v>74</v>
      </c>
      <c r="B63" t="s">
        <v>573</v>
      </c>
      <c r="C63">
        <v>27</v>
      </c>
      <c r="D63" t="s">
        <v>903</v>
      </c>
      <c r="E63">
        <v>1</v>
      </c>
      <c r="F63" t="str">
        <f>VLOOKUP(D63, Lookup_Table!$A$2:$B$10, 2, FALSE)</f>
        <v>Dr. Mishra</v>
      </c>
      <c r="G63" t="str">
        <f t="shared" si="0"/>
        <v>Adult</v>
      </c>
    </row>
    <row r="64" spans="1:7" x14ac:dyDescent="0.3">
      <c r="A64" t="s">
        <v>75</v>
      </c>
      <c r="B64" t="s">
        <v>574</v>
      </c>
      <c r="C64">
        <v>57</v>
      </c>
      <c r="D64" t="s">
        <v>905</v>
      </c>
      <c r="E64">
        <v>2</v>
      </c>
      <c r="F64" t="str">
        <f>VLOOKUP(D64, Lookup_Table!$A$2:$B$10, 2, FALSE)</f>
        <v>Dr. Gupta</v>
      </c>
      <c r="G64" t="str">
        <f t="shared" si="0"/>
        <v>Adult</v>
      </c>
    </row>
    <row r="65" spans="1:7" x14ac:dyDescent="0.3">
      <c r="A65" t="s">
        <v>76</v>
      </c>
      <c r="B65" t="s">
        <v>575</v>
      </c>
      <c r="C65">
        <v>55</v>
      </c>
      <c r="D65" t="s">
        <v>902</v>
      </c>
      <c r="E65">
        <v>2</v>
      </c>
      <c r="F65" t="str">
        <f>VLOOKUP(D65, Lookup_Table!$A$2:$B$10, 2, FALSE)</f>
        <v>Dr. Sharma</v>
      </c>
      <c r="G65" t="str">
        <f t="shared" si="0"/>
        <v>Adult</v>
      </c>
    </row>
    <row r="66" spans="1:7" x14ac:dyDescent="0.3">
      <c r="A66" t="s">
        <v>77</v>
      </c>
      <c r="B66" t="s">
        <v>576</v>
      </c>
      <c r="C66">
        <v>71</v>
      </c>
      <c r="D66" t="s">
        <v>908</v>
      </c>
      <c r="E66">
        <v>1</v>
      </c>
      <c r="F66" t="str">
        <f>VLOOKUP(D66, Lookup_Table!$A$2:$B$10, 2, FALSE)</f>
        <v>Dr. Rao</v>
      </c>
      <c r="G66" t="str">
        <f t="shared" si="0"/>
        <v>Senior</v>
      </c>
    </row>
    <row r="67" spans="1:7" x14ac:dyDescent="0.3">
      <c r="A67" t="s">
        <v>78</v>
      </c>
      <c r="B67" t="s">
        <v>577</v>
      </c>
      <c r="C67">
        <v>70</v>
      </c>
      <c r="D67" t="s">
        <v>905</v>
      </c>
      <c r="E67">
        <v>12</v>
      </c>
      <c r="F67" t="str">
        <f>VLOOKUP(D67, Lookup_Table!$A$2:$B$10, 2, FALSE)</f>
        <v>Dr. Gupta</v>
      </c>
      <c r="G67" t="str">
        <f t="shared" si="0"/>
        <v>Senior</v>
      </c>
    </row>
    <row r="68" spans="1:7" x14ac:dyDescent="0.3">
      <c r="A68" t="s">
        <v>79</v>
      </c>
      <c r="B68" t="s">
        <v>578</v>
      </c>
      <c r="C68">
        <v>69</v>
      </c>
      <c r="D68" t="s">
        <v>903</v>
      </c>
      <c r="E68">
        <v>1</v>
      </c>
      <c r="F68" t="str">
        <f>VLOOKUP(D68, Lookup_Table!$A$2:$B$10, 2, FALSE)</f>
        <v>Dr. Mishra</v>
      </c>
      <c r="G68" t="str">
        <f t="shared" si="0"/>
        <v>Senior</v>
      </c>
    </row>
    <row r="69" spans="1:7" x14ac:dyDescent="0.3">
      <c r="A69" t="s">
        <v>80</v>
      </c>
      <c r="B69" t="s">
        <v>579</v>
      </c>
      <c r="C69">
        <v>4</v>
      </c>
      <c r="D69" t="s">
        <v>901</v>
      </c>
      <c r="E69">
        <v>1</v>
      </c>
      <c r="F69" t="str">
        <f>VLOOKUP(D69, Lookup_Table!$A$2:$B$10, 2, FALSE)</f>
        <v>Dr. Kapoor</v>
      </c>
      <c r="G69" t="str">
        <f t="shared" ref="G69:G132" si="1">IF(C69&lt;18,"Child", IF(C69&lt;60,"Adult","Senior"))</f>
        <v>Child</v>
      </c>
    </row>
    <row r="70" spans="1:7" x14ac:dyDescent="0.3">
      <c r="A70" t="s">
        <v>81</v>
      </c>
      <c r="B70" t="s">
        <v>580</v>
      </c>
      <c r="C70">
        <v>70</v>
      </c>
      <c r="D70" t="s">
        <v>906</v>
      </c>
      <c r="E70">
        <v>3</v>
      </c>
      <c r="F70" t="str">
        <f>VLOOKUP(D70, Lookup_Table!$A$2:$B$10, 2, FALSE)</f>
        <v>Dr. Menon</v>
      </c>
      <c r="G70" t="str">
        <f t="shared" si="1"/>
        <v>Senior</v>
      </c>
    </row>
    <row r="71" spans="1:7" x14ac:dyDescent="0.3">
      <c r="A71" t="s">
        <v>82</v>
      </c>
      <c r="B71" t="s">
        <v>525</v>
      </c>
      <c r="C71">
        <v>25</v>
      </c>
      <c r="D71" t="s">
        <v>904</v>
      </c>
      <c r="E71">
        <v>1</v>
      </c>
      <c r="F71" t="str">
        <f>VLOOKUP(D71, Lookup_Table!$A$2:$B$10, 2, FALSE)</f>
        <v>Dr. Deshmukh</v>
      </c>
      <c r="G71" t="str">
        <f t="shared" si="1"/>
        <v>Adult</v>
      </c>
    </row>
    <row r="72" spans="1:7" x14ac:dyDescent="0.3">
      <c r="A72" t="s">
        <v>83</v>
      </c>
      <c r="B72" t="s">
        <v>581</v>
      </c>
      <c r="C72">
        <v>78</v>
      </c>
      <c r="D72" t="s">
        <v>907</v>
      </c>
      <c r="E72">
        <v>16</v>
      </c>
      <c r="F72" t="str">
        <f>VLOOKUP(D72, Lookup_Table!$A$2:$B$10, 2, FALSE)</f>
        <v>Dr. Chatterjee</v>
      </c>
      <c r="G72" t="str">
        <f t="shared" si="1"/>
        <v>Senior</v>
      </c>
    </row>
    <row r="73" spans="1:7" x14ac:dyDescent="0.3">
      <c r="A73" t="s">
        <v>84</v>
      </c>
      <c r="B73" t="s">
        <v>582</v>
      </c>
      <c r="C73">
        <v>76</v>
      </c>
      <c r="D73" t="s">
        <v>906</v>
      </c>
      <c r="E73">
        <v>1</v>
      </c>
      <c r="F73" t="str">
        <f>VLOOKUP(D73, Lookup_Table!$A$2:$B$10, 2, FALSE)</f>
        <v>Dr. Menon</v>
      </c>
      <c r="G73" t="str">
        <f t="shared" si="1"/>
        <v>Senior</v>
      </c>
    </row>
    <row r="74" spans="1:7" x14ac:dyDescent="0.3">
      <c r="A74" t="s">
        <v>85</v>
      </c>
      <c r="B74" t="s">
        <v>583</v>
      </c>
      <c r="C74">
        <v>19</v>
      </c>
      <c r="D74" t="s">
        <v>904</v>
      </c>
      <c r="E74">
        <v>13</v>
      </c>
      <c r="F74" t="str">
        <f>VLOOKUP(D74, Lookup_Table!$A$2:$B$10, 2, FALSE)</f>
        <v>Dr. Deshmukh</v>
      </c>
      <c r="G74" t="str">
        <f t="shared" si="1"/>
        <v>Adult</v>
      </c>
    </row>
    <row r="75" spans="1:7" x14ac:dyDescent="0.3">
      <c r="A75" t="s">
        <v>86</v>
      </c>
      <c r="B75" t="s">
        <v>584</v>
      </c>
      <c r="C75">
        <v>33</v>
      </c>
      <c r="D75" t="s">
        <v>904</v>
      </c>
      <c r="E75">
        <v>4</v>
      </c>
      <c r="F75" t="str">
        <f>VLOOKUP(D75, Lookup_Table!$A$2:$B$10, 2, FALSE)</f>
        <v>Dr. Deshmukh</v>
      </c>
      <c r="G75" t="str">
        <f t="shared" si="1"/>
        <v>Adult</v>
      </c>
    </row>
    <row r="76" spans="1:7" x14ac:dyDescent="0.3">
      <c r="A76" t="s">
        <v>87</v>
      </c>
      <c r="B76" t="s">
        <v>585</v>
      </c>
      <c r="C76">
        <v>26</v>
      </c>
      <c r="D76" t="s">
        <v>906</v>
      </c>
      <c r="E76">
        <v>1</v>
      </c>
      <c r="F76" t="str">
        <f>VLOOKUP(D76, Lookup_Table!$A$2:$B$10, 2, FALSE)</f>
        <v>Dr. Menon</v>
      </c>
      <c r="G76" t="str">
        <f t="shared" si="1"/>
        <v>Adult</v>
      </c>
    </row>
    <row r="77" spans="1:7" x14ac:dyDescent="0.3">
      <c r="A77" t="s">
        <v>88</v>
      </c>
      <c r="B77" t="s">
        <v>586</v>
      </c>
      <c r="C77">
        <v>59</v>
      </c>
      <c r="D77" t="s">
        <v>903</v>
      </c>
      <c r="E77">
        <v>1</v>
      </c>
      <c r="F77" t="str">
        <f>VLOOKUP(D77, Lookup_Table!$A$2:$B$10, 2, FALSE)</f>
        <v>Dr. Mishra</v>
      </c>
      <c r="G77" t="str">
        <f t="shared" si="1"/>
        <v>Adult</v>
      </c>
    </row>
    <row r="78" spans="1:7" x14ac:dyDescent="0.3">
      <c r="A78" t="s">
        <v>89</v>
      </c>
      <c r="B78" t="s">
        <v>587</v>
      </c>
      <c r="C78">
        <v>48</v>
      </c>
      <c r="D78" t="s">
        <v>905</v>
      </c>
      <c r="E78">
        <v>11</v>
      </c>
      <c r="F78" t="str">
        <f>VLOOKUP(D78, Lookup_Table!$A$2:$B$10, 2, FALSE)</f>
        <v>Dr. Gupta</v>
      </c>
      <c r="G78" t="str">
        <f t="shared" si="1"/>
        <v>Adult</v>
      </c>
    </row>
    <row r="79" spans="1:7" x14ac:dyDescent="0.3">
      <c r="A79" t="s">
        <v>90</v>
      </c>
      <c r="B79" t="s">
        <v>548</v>
      </c>
      <c r="C79">
        <v>86</v>
      </c>
      <c r="D79" t="s">
        <v>908</v>
      </c>
      <c r="E79">
        <v>7</v>
      </c>
      <c r="F79" t="str">
        <f>VLOOKUP(D79, Lookup_Table!$A$2:$B$10, 2, FALSE)</f>
        <v>Dr. Rao</v>
      </c>
      <c r="G79" t="str">
        <f t="shared" si="1"/>
        <v>Senior</v>
      </c>
    </row>
    <row r="80" spans="1:7" x14ac:dyDescent="0.3">
      <c r="A80" t="s">
        <v>91</v>
      </c>
      <c r="B80" t="s">
        <v>562</v>
      </c>
      <c r="C80">
        <v>11</v>
      </c>
      <c r="D80" t="s">
        <v>901</v>
      </c>
      <c r="E80">
        <v>3</v>
      </c>
      <c r="F80" t="str">
        <f>VLOOKUP(D80, Lookup_Table!$A$2:$B$10, 2, FALSE)</f>
        <v>Dr. Kapoor</v>
      </c>
      <c r="G80" t="str">
        <f t="shared" si="1"/>
        <v>Child</v>
      </c>
    </row>
    <row r="81" spans="1:7" x14ac:dyDescent="0.3">
      <c r="A81" t="s">
        <v>92</v>
      </c>
      <c r="B81" t="s">
        <v>588</v>
      </c>
      <c r="C81">
        <v>46</v>
      </c>
      <c r="D81" t="s">
        <v>903</v>
      </c>
      <c r="E81">
        <v>5</v>
      </c>
      <c r="F81" t="str">
        <f>VLOOKUP(D81, Lookup_Table!$A$2:$B$10, 2, FALSE)</f>
        <v>Dr. Mishra</v>
      </c>
      <c r="G81" t="str">
        <f t="shared" si="1"/>
        <v>Adult</v>
      </c>
    </row>
    <row r="82" spans="1:7" x14ac:dyDescent="0.3">
      <c r="A82" t="s">
        <v>93</v>
      </c>
      <c r="B82" t="s">
        <v>589</v>
      </c>
      <c r="C82">
        <v>75</v>
      </c>
      <c r="D82" t="s">
        <v>902</v>
      </c>
      <c r="E82">
        <v>1</v>
      </c>
      <c r="F82" t="str">
        <f>VLOOKUP(D82, Lookup_Table!$A$2:$B$10, 2, FALSE)</f>
        <v>Dr. Sharma</v>
      </c>
      <c r="G82" t="str">
        <f t="shared" si="1"/>
        <v>Senior</v>
      </c>
    </row>
    <row r="83" spans="1:7" x14ac:dyDescent="0.3">
      <c r="A83" t="s">
        <v>94</v>
      </c>
      <c r="B83" t="s">
        <v>590</v>
      </c>
      <c r="C83">
        <v>79</v>
      </c>
      <c r="D83" t="s">
        <v>903</v>
      </c>
      <c r="E83">
        <v>1</v>
      </c>
      <c r="F83" t="str">
        <f>VLOOKUP(D83, Lookup_Table!$A$2:$B$10, 2, FALSE)</f>
        <v>Dr. Mishra</v>
      </c>
      <c r="G83" t="str">
        <f t="shared" si="1"/>
        <v>Senior</v>
      </c>
    </row>
    <row r="84" spans="1:7" x14ac:dyDescent="0.3">
      <c r="A84" t="s">
        <v>95</v>
      </c>
      <c r="B84" t="s">
        <v>591</v>
      </c>
      <c r="C84">
        <v>31</v>
      </c>
      <c r="D84" t="s">
        <v>907</v>
      </c>
      <c r="E84">
        <v>1</v>
      </c>
      <c r="F84" t="str">
        <f>VLOOKUP(D84, Lookup_Table!$A$2:$B$10, 2, FALSE)</f>
        <v>Dr. Chatterjee</v>
      </c>
      <c r="G84" t="str">
        <f t="shared" si="1"/>
        <v>Adult</v>
      </c>
    </row>
    <row r="85" spans="1:7" x14ac:dyDescent="0.3">
      <c r="A85" t="s">
        <v>96</v>
      </c>
      <c r="B85" t="s">
        <v>592</v>
      </c>
      <c r="C85">
        <v>46</v>
      </c>
      <c r="D85" t="s">
        <v>909</v>
      </c>
      <c r="E85">
        <v>3</v>
      </c>
      <c r="F85" t="str">
        <f>VLOOKUP(D85, Lookup_Table!$A$2:$B$10, 2, FALSE)</f>
        <v>Dr. Tiwari</v>
      </c>
      <c r="G85" t="str">
        <f t="shared" si="1"/>
        <v>Adult</v>
      </c>
    </row>
    <row r="86" spans="1:7" x14ac:dyDescent="0.3">
      <c r="A86" t="s">
        <v>97</v>
      </c>
      <c r="B86" t="s">
        <v>542</v>
      </c>
      <c r="C86">
        <v>48</v>
      </c>
      <c r="D86" t="s">
        <v>909</v>
      </c>
      <c r="E86">
        <v>1</v>
      </c>
      <c r="F86" t="str">
        <f>VLOOKUP(D86, Lookup_Table!$A$2:$B$10, 2, FALSE)</f>
        <v>Dr. Tiwari</v>
      </c>
      <c r="G86" t="str">
        <f t="shared" si="1"/>
        <v>Adult</v>
      </c>
    </row>
    <row r="87" spans="1:7" x14ac:dyDescent="0.3">
      <c r="A87" t="s">
        <v>98</v>
      </c>
      <c r="B87" t="s">
        <v>593</v>
      </c>
      <c r="C87">
        <v>53</v>
      </c>
      <c r="D87" t="s">
        <v>909</v>
      </c>
      <c r="E87">
        <v>1</v>
      </c>
      <c r="F87" t="str">
        <f>VLOOKUP(D87, Lookup_Table!$A$2:$B$10, 2, FALSE)</f>
        <v>Dr. Tiwari</v>
      </c>
      <c r="G87" t="str">
        <f t="shared" si="1"/>
        <v>Adult</v>
      </c>
    </row>
    <row r="88" spans="1:7" x14ac:dyDescent="0.3">
      <c r="A88" t="s">
        <v>99</v>
      </c>
      <c r="B88" t="s">
        <v>594</v>
      </c>
      <c r="C88">
        <v>76</v>
      </c>
      <c r="D88" t="s">
        <v>903</v>
      </c>
      <c r="E88">
        <v>1</v>
      </c>
      <c r="F88" t="str">
        <f>VLOOKUP(D88, Lookup_Table!$A$2:$B$10, 2, FALSE)</f>
        <v>Dr. Mishra</v>
      </c>
      <c r="G88" t="str">
        <f t="shared" si="1"/>
        <v>Senior</v>
      </c>
    </row>
    <row r="89" spans="1:7" x14ac:dyDescent="0.3">
      <c r="A89" t="s">
        <v>100</v>
      </c>
      <c r="B89" t="s">
        <v>595</v>
      </c>
      <c r="C89">
        <v>45</v>
      </c>
      <c r="D89" t="s">
        <v>905</v>
      </c>
      <c r="E89">
        <v>2</v>
      </c>
      <c r="F89" t="str">
        <f>VLOOKUP(D89, Lookup_Table!$A$2:$B$10, 2, FALSE)</f>
        <v>Dr. Gupta</v>
      </c>
      <c r="G89" t="str">
        <f t="shared" si="1"/>
        <v>Adult</v>
      </c>
    </row>
    <row r="90" spans="1:7" x14ac:dyDescent="0.3">
      <c r="A90" t="s">
        <v>101</v>
      </c>
      <c r="B90" t="s">
        <v>596</v>
      </c>
      <c r="C90">
        <v>81</v>
      </c>
      <c r="D90" t="s">
        <v>908</v>
      </c>
      <c r="E90">
        <v>2</v>
      </c>
      <c r="F90" t="str">
        <f>VLOOKUP(D90, Lookup_Table!$A$2:$B$10, 2, FALSE)</f>
        <v>Dr. Rao</v>
      </c>
      <c r="G90" t="str">
        <f t="shared" si="1"/>
        <v>Senior</v>
      </c>
    </row>
    <row r="91" spans="1:7" x14ac:dyDescent="0.3">
      <c r="A91" t="s">
        <v>102</v>
      </c>
      <c r="B91" t="s">
        <v>597</v>
      </c>
      <c r="C91">
        <v>41</v>
      </c>
      <c r="D91" t="s">
        <v>904</v>
      </c>
      <c r="E91">
        <v>3</v>
      </c>
      <c r="F91" t="str">
        <f>VLOOKUP(D91, Lookup_Table!$A$2:$B$10, 2, FALSE)</f>
        <v>Dr. Deshmukh</v>
      </c>
      <c r="G91" t="str">
        <f t="shared" si="1"/>
        <v>Adult</v>
      </c>
    </row>
    <row r="92" spans="1:7" x14ac:dyDescent="0.3">
      <c r="A92" t="s">
        <v>103</v>
      </c>
      <c r="B92" t="s">
        <v>598</v>
      </c>
      <c r="C92">
        <v>21</v>
      </c>
      <c r="D92" t="s">
        <v>906</v>
      </c>
      <c r="E92">
        <v>5</v>
      </c>
      <c r="F92" t="str">
        <f>VLOOKUP(D92, Lookup_Table!$A$2:$B$10, 2, FALSE)</f>
        <v>Dr. Menon</v>
      </c>
      <c r="G92" t="str">
        <f t="shared" si="1"/>
        <v>Adult</v>
      </c>
    </row>
    <row r="93" spans="1:7" x14ac:dyDescent="0.3">
      <c r="A93" t="s">
        <v>104</v>
      </c>
      <c r="B93" t="s">
        <v>599</v>
      </c>
      <c r="C93">
        <v>52</v>
      </c>
      <c r="D93" t="s">
        <v>908</v>
      </c>
      <c r="E93">
        <v>13</v>
      </c>
      <c r="F93" t="str">
        <f>VLOOKUP(D93, Lookup_Table!$A$2:$B$10, 2, FALSE)</f>
        <v>Dr. Rao</v>
      </c>
      <c r="G93" t="str">
        <f t="shared" si="1"/>
        <v>Adult</v>
      </c>
    </row>
    <row r="94" spans="1:7" x14ac:dyDescent="0.3">
      <c r="A94" t="s">
        <v>105</v>
      </c>
      <c r="B94" t="s">
        <v>600</v>
      </c>
      <c r="C94">
        <v>21</v>
      </c>
      <c r="D94" t="s">
        <v>904</v>
      </c>
      <c r="E94">
        <v>1</v>
      </c>
      <c r="F94" t="str">
        <f>VLOOKUP(D94, Lookup_Table!$A$2:$B$10, 2, FALSE)</f>
        <v>Dr. Deshmukh</v>
      </c>
      <c r="G94" t="str">
        <f t="shared" si="1"/>
        <v>Adult</v>
      </c>
    </row>
    <row r="95" spans="1:7" x14ac:dyDescent="0.3">
      <c r="A95" t="s">
        <v>106</v>
      </c>
      <c r="B95" t="s">
        <v>601</v>
      </c>
      <c r="C95">
        <v>21</v>
      </c>
      <c r="D95" t="s">
        <v>904</v>
      </c>
      <c r="E95">
        <v>1</v>
      </c>
      <c r="F95" t="str">
        <f>VLOOKUP(D95, Lookup_Table!$A$2:$B$10, 2, FALSE)</f>
        <v>Dr. Deshmukh</v>
      </c>
      <c r="G95" t="str">
        <f t="shared" si="1"/>
        <v>Adult</v>
      </c>
    </row>
    <row r="96" spans="1:7" x14ac:dyDescent="0.3">
      <c r="A96" t="s">
        <v>107</v>
      </c>
      <c r="B96" t="s">
        <v>602</v>
      </c>
      <c r="C96">
        <v>30</v>
      </c>
      <c r="D96" t="s">
        <v>905</v>
      </c>
      <c r="E96">
        <v>8</v>
      </c>
      <c r="F96" t="str">
        <f>VLOOKUP(D96, Lookup_Table!$A$2:$B$10, 2, FALSE)</f>
        <v>Dr. Gupta</v>
      </c>
      <c r="G96" t="str">
        <f t="shared" si="1"/>
        <v>Adult</v>
      </c>
    </row>
    <row r="97" spans="1:7" x14ac:dyDescent="0.3">
      <c r="A97" t="s">
        <v>108</v>
      </c>
      <c r="B97" t="s">
        <v>603</v>
      </c>
      <c r="C97">
        <v>55</v>
      </c>
      <c r="D97" t="s">
        <v>902</v>
      </c>
      <c r="E97">
        <v>7</v>
      </c>
      <c r="F97" t="str">
        <f>VLOOKUP(D97, Lookup_Table!$A$2:$B$10, 2, FALSE)</f>
        <v>Dr. Sharma</v>
      </c>
      <c r="G97" t="str">
        <f t="shared" si="1"/>
        <v>Adult</v>
      </c>
    </row>
    <row r="98" spans="1:7" x14ac:dyDescent="0.3">
      <c r="A98" t="s">
        <v>109</v>
      </c>
      <c r="B98" t="s">
        <v>604</v>
      </c>
      <c r="C98">
        <v>17</v>
      </c>
      <c r="D98" t="s">
        <v>901</v>
      </c>
      <c r="E98">
        <v>2</v>
      </c>
      <c r="F98" t="str">
        <f>VLOOKUP(D98, Lookup_Table!$A$2:$B$10, 2, FALSE)</f>
        <v>Dr. Kapoor</v>
      </c>
      <c r="G98" t="str">
        <f t="shared" si="1"/>
        <v>Child</v>
      </c>
    </row>
    <row r="99" spans="1:7" x14ac:dyDescent="0.3">
      <c r="A99" t="s">
        <v>110</v>
      </c>
      <c r="B99" t="s">
        <v>605</v>
      </c>
      <c r="C99">
        <v>67</v>
      </c>
      <c r="D99" t="s">
        <v>902</v>
      </c>
      <c r="E99">
        <v>7</v>
      </c>
      <c r="F99" t="str">
        <f>VLOOKUP(D99, Lookup_Table!$A$2:$B$10, 2, FALSE)</f>
        <v>Dr. Sharma</v>
      </c>
      <c r="G99" t="str">
        <f t="shared" si="1"/>
        <v>Senior</v>
      </c>
    </row>
    <row r="100" spans="1:7" x14ac:dyDescent="0.3">
      <c r="A100" t="s">
        <v>111</v>
      </c>
      <c r="B100" t="s">
        <v>606</v>
      </c>
      <c r="C100">
        <v>55</v>
      </c>
      <c r="D100" t="s">
        <v>907</v>
      </c>
      <c r="E100">
        <v>6</v>
      </c>
      <c r="F100" t="str">
        <f>VLOOKUP(D100, Lookup_Table!$A$2:$B$10, 2, FALSE)</f>
        <v>Dr. Chatterjee</v>
      </c>
      <c r="G100" t="str">
        <f t="shared" si="1"/>
        <v>Adult</v>
      </c>
    </row>
    <row r="101" spans="1:7" x14ac:dyDescent="0.3">
      <c r="A101" t="s">
        <v>112</v>
      </c>
      <c r="B101" t="s">
        <v>607</v>
      </c>
      <c r="C101">
        <v>74</v>
      </c>
      <c r="D101" t="s">
        <v>909</v>
      </c>
      <c r="E101">
        <v>1</v>
      </c>
      <c r="F101" t="str">
        <f>VLOOKUP(D101, Lookup_Table!$A$2:$B$10, 2, FALSE)</f>
        <v>Dr. Tiwari</v>
      </c>
      <c r="G101" t="str">
        <f t="shared" si="1"/>
        <v>Senior</v>
      </c>
    </row>
    <row r="102" spans="1:7" x14ac:dyDescent="0.3">
      <c r="A102" t="s">
        <v>113</v>
      </c>
      <c r="B102" t="s">
        <v>608</v>
      </c>
      <c r="C102">
        <v>88</v>
      </c>
      <c r="D102" t="s">
        <v>902</v>
      </c>
      <c r="E102">
        <v>2</v>
      </c>
      <c r="F102" t="str">
        <f>VLOOKUP(D102, Lookup_Table!$A$2:$B$10, 2, FALSE)</f>
        <v>Dr. Sharma</v>
      </c>
      <c r="G102" t="str">
        <f t="shared" si="1"/>
        <v>Senior</v>
      </c>
    </row>
    <row r="103" spans="1:7" x14ac:dyDescent="0.3">
      <c r="A103" t="s">
        <v>114</v>
      </c>
      <c r="B103" t="s">
        <v>609</v>
      </c>
      <c r="C103">
        <v>61</v>
      </c>
      <c r="D103" t="s">
        <v>902</v>
      </c>
      <c r="E103">
        <v>1</v>
      </c>
      <c r="F103" t="str">
        <f>VLOOKUP(D103, Lookup_Table!$A$2:$B$10, 2, FALSE)</f>
        <v>Dr. Sharma</v>
      </c>
      <c r="G103" t="str">
        <f t="shared" si="1"/>
        <v>Senior</v>
      </c>
    </row>
    <row r="104" spans="1:7" x14ac:dyDescent="0.3">
      <c r="A104" t="s">
        <v>115</v>
      </c>
      <c r="B104" t="s">
        <v>610</v>
      </c>
      <c r="C104">
        <v>63</v>
      </c>
      <c r="D104" t="s">
        <v>902</v>
      </c>
      <c r="E104">
        <v>1</v>
      </c>
      <c r="F104" t="str">
        <f>VLOOKUP(D104, Lookup_Table!$A$2:$B$10, 2, FALSE)</f>
        <v>Dr. Sharma</v>
      </c>
      <c r="G104" t="str">
        <f t="shared" si="1"/>
        <v>Senior</v>
      </c>
    </row>
    <row r="105" spans="1:7" x14ac:dyDescent="0.3">
      <c r="A105" t="s">
        <v>116</v>
      </c>
      <c r="B105" t="s">
        <v>611</v>
      </c>
      <c r="C105">
        <v>63</v>
      </c>
      <c r="D105" t="s">
        <v>907</v>
      </c>
      <c r="E105">
        <v>1</v>
      </c>
      <c r="F105" t="str">
        <f>VLOOKUP(D105, Lookup_Table!$A$2:$B$10, 2, FALSE)</f>
        <v>Dr. Chatterjee</v>
      </c>
      <c r="G105" t="str">
        <f t="shared" si="1"/>
        <v>Senior</v>
      </c>
    </row>
    <row r="106" spans="1:7" x14ac:dyDescent="0.3">
      <c r="A106" t="s">
        <v>117</v>
      </c>
      <c r="B106" t="s">
        <v>612</v>
      </c>
      <c r="C106">
        <v>77</v>
      </c>
      <c r="D106" t="s">
        <v>907</v>
      </c>
      <c r="E106">
        <v>10</v>
      </c>
      <c r="F106" t="str">
        <f>VLOOKUP(D106, Lookup_Table!$A$2:$B$10, 2, FALSE)</f>
        <v>Dr. Chatterjee</v>
      </c>
      <c r="G106" t="str">
        <f t="shared" si="1"/>
        <v>Senior</v>
      </c>
    </row>
    <row r="107" spans="1:7" x14ac:dyDescent="0.3">
      <c r="A107" t="s">
        <v>118</v>
      </c>
      <c r="B107" t="s">
        <v>613</v>
      </c>
      <c r="C107">
        <v>43</v>
      </c>
      <c r="D107" t="s">
        <v>905</v>
      </c>
      <c r="E107">
        <v>2</v>
      </c>
      <c r="F107" t="str">
        <f>VLOOKUP(D107, Lookup_Table!$A$2:$B$10, 2, FALSE)</f>
        <v>Dr. Gupta</v>
      </c>
      <c r="G107" t="str">
        <f t="shared" si="1"/>
        <v>Adult</v>
      </c>
    </row>
    <row r="108" spans="1:7" x14ac:dyDescent="0.3">
      <c r="A108" t="s">
        <v>119</v>
      </c>
      <c r="B108" t="s">
        <v>614</v>
      </c>
      <c r="C108">
        <v>58</v>
      </c>
      <c r="D108" t="s">
        <v>909</v>
      </c>
      <c r="E108">
        <v>1</v>
      </c>
      <c r="F108" t="str">
        <f>VLOOKUP(D108, Lookup_Table!$A$2:$B$10, 2, FALSE)</f>
        <v>Dr. Tiwari</v>
      </c>
      <c r="G108" t="str">
        <f t="shared" si="1"/>
        <v>Adult</v>
      </c>
    </row>
    <row r="109" spans="1:7" x14ac:dyDescent="0.3">
      <c r="A109" t="s">
        <v>120</v>
      </c>
      <c r="B109" t="s">
        <v>589</v>
      </c>
      <c r="C109">
        <v>65</v>
      </c>
      <c r="D109" t="s">
        <v>909</v>
      </c>
      <c r="E109">
        <v>4</v>
      </c>
      <c r="F109" t="str">
        <f>VLOOKUP(D109, Lookup_Table!$A$2:$B$10, 2, FALSE)</f>
        <v>Dr. Tiwari</v>
      </c>
      <c r="G109" t="str">
        <f t="shared" si="1"/>
        <v>Senior</v>
      </c>
    </row>
    <row r="110" spans="1:7" x14ac:dyDescent="0.3">
      <c r="A110" t="s">
        <v>121</v>
      </c>
      <c r="B110" t="s">
        <v>615</v>
      </c>
      <c r="C110">
        <v>15</v>
      </c>
      <c r="D110" t="s">
        <v>901</v>
      </c>
      <c r="E110">
        <v>1</v>
      </c>
      <c r="F110" t="str">
        <f>VLOOKUP(D110, Lookup_Table!$A$2:$B$10, 2, FALSE)</f>
        <v>Dr. Kapoor</v>
      </c>
      <c r="G110" t="str">
        <f t="shared" si="1"/>
        <v>Child</v>
      </c>
    </row>
    <row r="111" spans="1:7" x14ac:dyDescent="0.3">
      <c r="A111" t="s">
        <v>122</v>
      </c>
      <c r="B111" t="s">
        <v>616</v>
      </c>
      <c r="C111">
        <v>62</v>
      </c>
      <c r="D111" t="s">
        <v>902</v>
      </c>
      <c r="E111">
        <v>2</v>
      </c>
      <c r="F111" t="str">
        <f>VLOOKUP(D111, Lookup_Table!$A$2:$B$10, 2, FALSE)</f>
        <v>Dr. Sharma</v>
      </c>
      <c r="G111" t="str">
        <f t="shared" si="1"/>
        <v>Senior</v>
      </c>
    </row>
    <row r="112" spans="1:7" x14ac:dyDescent="0.3">
      <c r="A112" t="s">
        <v>123</v>
      </c>
      <c r="B112" t="s">
        <v>617</v>
      </c>
      <c r="C112">
        <v>56</v>
      </c>
      <c r="D112" t="s">
        <v>902</v>
      </c>
      <c r="E112">
        <v>7</v>
      </c>
      <c r="F112" t="str">
        <f>VLOOKUP(D112, Lookup_Table!$A$2:$B$10, 2, FALSE)</f>
        <v>Dr. Sharma</v>
      </c>
      <c r="G112" t="str">
        <f t="shared" si="1"/>
        <v>Adult</v>
      </c>
    </row>
    <row r="113" spans="1:7" x14ac:dyDescent="0.3">
      <c r="A113" t="s">
        <v>124</v>
      </c>
      <c r="B113" t="s">
        <v>618</v>
      </c>
      <c r="C113">
        <v>40</v>
      </c>
      <c r="D113" t="s">
        <v>904</v>
      </c>
      <c r="E113">
        <v>1</v>
      </c>
      <c r="F113" t="str">
        <f>VLOOKUP(D113, Lookup_Table!$A$2:$B$10, 2, FALSE)</f>
        <v>Dr. Deshmukh</v>
      </c>
      <c r="G113" t="str">
        <f t="shared" si="1"/>
        <v>Adult</v>
      </c>
    </row>
    <row r="114" spans="1:7" x14ac:dyDescent="0.3">
      <c r="A114" t="s">
        <v>125</v>
      </c>
      <c r="B114" t="s">
        <v>619</v>
      </c>
      <c r="C114">
        <v>55</v>
      </c>
      <c r="D114" t="s">
        <v>907</v>
      </c>
      <c r="E114">
        <v>1</v>
      </c>
      <c r="F114" t="str">
        <f>VLOOKUP(D114, Lookup_Table!$A$2:$B$10, 2, FALSE)</f>
        <v>Dr. Chatterjee</v>
      </c>
      <c r="G114" t="str">
        <f t="shared" si="1"/>
        <v>Adult</v>
      </c>
    </row>
    <row r="115" spans="1:7" x14ac:dyDescent="0.3">
      <c r="A115" t="s">
        <v>126</v>
      </c>
      <c r="B115" t="s">
        <v>620</v>
      </c>
      <c r="C115">
        <v>61</v>
      </c>
      <c r="D115" t="s">
        <v>906</v>
      </c>
      <c r="E115">
        <v>1</v>
      </c>
      <c r="F115" t="str">
        <f>VLOOKUP(D115, Lookup_Table!$A$2:$B$10, 2, FALSE)</f>
        <v>Dr. Menon</v>
      </c>
      <c r="G115" t="str">
        <f t="shared" si="1"/>
        <v>Senior</v>
      </c>
    </row>
    <row r="116" spans="1:7" x14ac:dyDescent="0.3">
      <c r="A116" t="s">
        <v>127</v>
      </c>
      <c r="B116" t="s">
        <v>621</v>
      </c>
      <c r="C116">
        <v>41</v>
      </c>
      <c r="D116" t="s">
        <v>904</v>
      </c>
      <c r="E116">
        <v>1</v>
      </c>
      <c r="F116" t="str">
        <f>VLOOKUP(D116, Lookup_Table!$A$2:$B$10, 2, FALSE)</f>
        <v>Dr. Deshmukh</v>
      </c>
      <c r="G116" t="str">
        <f t="shared" si="1"/>
        <v>Adult</v>
      </c>
    </row>
    <row r="117" spans="1:7" x14ac:dyDescent="0.3">
      <c r="A117" t="s">
        <v>128</v>
      </c>
      <c r="B117" t="s">
        <v>622</v>
      </c>
      <c r="C117">
        <v>66</v>
      </c>
      <c r="D117" t="s">
        <v>909</v>
      </c>
      <c r="E117">
        <v>5</v>
      </c>
      <c r="F117" t="str">
        <f>VLOOKUP(D117, Lookup_Table!$A$2:$B$10, 2, FALSE)</f>
        <v>Dr. Tiwari</v>
      </c>
      <c r="G117" t="str">
        <f t="shared" si="1"/>
        <v>Senior</v>
      </c>
    </row>
    <row r="118" spans="1:7" x14ac:dyDescent="0.3">
      <c r="A118" t="s">
        <v>129</v>
      </c>
      <c r="B118" t="s">
        <v>623</v>
      </c>
      <c r="C118">
        <v>74</v>
      </c>
      <c r="D118" t="s">
        <v>907</v>
      </c>
      <c r="E118">
        <v>16</v>
      </c>
      <c r="F118" t="str">
        <f>VLOOKUP(D118, Lookup_Table!$A$2:$B$10, 2, FALSE)</f>
        <v>Dr. Chatterjee</v>
      </c>
      <c r="G118" t="str">
        <f t="shared" si="1"/>
        <v>Senior</v>
      </c>
    </row>
    <row r="119" spans="1:7" x14ac:dyDescent="0.3">
      <c r="A119" t="s">
        <v>130</v>
      </c>
      <c r="B119" t="s">
        <v>624</v>
      </c>
      <c r="C119">
        <v>0</v>
      </c>
      <c r="D119" t="s">
        <v>901</v>
      </c>
      <c r="E119">
        <v>3</v>
      </c>
      <c r="F119" t="str">
        <f>VLOOKUP(D119, Lookup_Table!$A$2:$B$10, 2, FALSE)</f>
        <v>Dr. Kapoor</v>
      </c>
      <c r="G119" t="str">
        <f t="shared" si="1"/>
        <v>Child</v>
      </c>
    </row>
    <row r="120" spans="1:7" x14ac:dyDescent="0.3">
      <c r="A120" t="s">
        <v>131</v>
      </c>
      <c r="B120" t="s">
        <v>625</v>
      </c>
      <c r="C120">
        <v>35</v>
      </c>
      <c r="D120" t="s">
        <v>905</v>
      </c>
      <c r="E120">
        <v>14</v>
      </c>
      <c r="F120" t="str">
        <f>VLOOKUP(D120, Lookup_Table!$A$2:$B$10, 2, FALSE)</f>
        <v>Dr. Gupta</v>
      </c>
      <c r="G120" t="str">
        <f t="shared" si="1"/>
        <v>Adult</v>
      </c>
    </row>
    <row r="121" spans="1:7" x14ac:dyDescent="0.3">
      <c r="A121" t="s">
        <v>132</v>
      </c>
      <c r="B121" t="s">
        <v>626</v>
      </c>
      <c r="C121">
        <v>85</v>
      </c>
      <c r="D121" t="s">
        <v>903</v>
      </c>
      <c r="E121">
        <v>6</v>
      </c>
      <c r="F121" t="str">
        <f>VLOOKUP(D121, Lookup_Table!$A$2:$B$10, 2, FALSE)</f>
        <v>Dr. Mishra</v>
      </c>
      <c r="G121" t="str">
        <f t="shared" si="1"/>
        <v>Senior</v>
      </c>
    </row>
    <row r="122" spans="1:7" x14ac:dyDescent="0.3">
      <c r="A122" t="s">
        <v>133</v>
      </c>
      <c r="B122" t="s">
        <v>627</v>
      </c>
      <c r="C122">
        <v>83</v>
      </c>
      <c r="D122" t="s">
        <v>909</v>
      </c>
      <c r="E122">
        <v>1</v>
      </c>
      <c r="F122" t="str">
        <f>VLOOKUP(D122, Lookup_Table!$A$2:$B$10, 2, FALSE)</f>
        <v>Dr. Tiwari</v>
      </c>
      <c r="G122" t="str">
        <f t="shared" si="1"/>
        <v>Senior</v>
      </c>
    </row>
    <row r="123" spans="1:7" x14ac:dyDescent="0.3">
      <c r="A123" t="s">
        <v>134</v>
      </c>
      <c r="B123" t="s">
        <v>628</v>
      </c>
      <c r="C123">
        <v>82</v>
      </c>
      <c r="D123" t="s">
        <v>905</v>
      </c>
      <c r="E123">
        <v>15</v>
      </c>
      <c r="F123" t="str">
        <f>VLOOKUP(D123, Lookup_Table!$A$2:$B$10, 2, FALSE)</f>
        <v>Dr. Gupta</v>
      </c>
      <c r="G123" t="str">
        <f t="shared" si="1"/>
        <v>Senior</v>
      </c>
    </row>
    <row r="124" spans="1:7" x14ac:dyDescent="0.3">
      <c r="A124" t="s">
        <v>135</v>
      </c>
      <c r="B124" t="s">
        <v>629</v>
      </c>
      <c r="C124">
        <v>31</v>
      </c>
      <c r="D124" t="s">
        <v>905</v>
      </c>
      <c r="E124">
        <v>5</v>
      </c>
      <c r="F124" t="str">
        <f>VLOOKUP(D124, Lookup_Table!$A$2:$B$10, 2, FALSE)</f>
        <v>Dr. Gupta</v>
      </c>
      <c r="G124" t="str">
        <f t="shared" si="1"/>
        <v>Adult</v>
      </c>
    </row>
    <row r="125" spans="1:7" x14ac:dyDescent="0.3">
      <c r="A125" t="s">
        <v>136</v>
      </c>
      <c r="B125" t="s">
        <v>630</v>
      </c>
      <c r="C125">
        <v>76</v>
      </c>
      <c r="D125" t="s">
        <v>908</v>
      </c>
      <c r="E125">
        <v>9</v>
      </c>
      <c r="F125" t="str">
        <f>VLOOKUP(D125, Lookup_Table!$A$2:$B$10, 2, FALSE)</f>
        <v>Dr. Rao</v>
      </c>
      <c r="G125" t="str">
        <f t="shared" si="1"/>
        <v>Senior</v>
      </c>
    </row>
    <row r="126" spans="1:7" x14ac:dyDescent="0.3">
      <c r="A126" t="s">
        <v>137</v>
      </c>
      <c r="B126" t="s">
        <v>631</v>
      </c>
      <c r="C126">
        <v>22</v>
      </c>
      <c r="D126" t="s">
        <v>906</v>
      </c>
      <c r="E126">
        <v>11</v>
      </c>
      <c r="F126" t="str">
        <f>VLOOKUP(D126, Lookup_Table!$A$2:$B$10, 2, FALSE)</f>
        <v>Dr. Menon</v>
      </c>
      <c r="G126" t="str">
        <f t="shared" si="1"/>
        <v>Adult</v>
      </c>
    </row>
    <row r="127" spans="1:7" x14ac:dyDescent="0.3">
      <c r="A127" t="s">
        <v>138</v>
      </c>
      <c r="B127" t="s">
        <v>547</v>
      </c>
      <c r="C127">
        <v>28</v>
      </c>
      <c r="D127" t="s">
        <v>904</v>
      </c>
      <c r="E127">
        <v>1</v>
      </c>
      <c r="F127" t="str">
        <f>VLOOKUP(D127, Lookup_Table!$A$2:$B$10, 2, FALSE)</f>
        <v>Dr. Deshmukh</v>
      </c>
      <c r="G127" t="str">
        <f t="shared" si="1"/>
        <v>Adult</v>
      </c>
    </row>
    <row r="128" spans="1:7" x14ac:dyDescent="0.3">
      <c r="A128" t="s">
        <v>139</v>
      </c>
      <c r="B128" t="s">
        <v>632</v>
      </c>
      <c r="C128">
        <v>55</v>
      </c>
      <c r="D128" t="s">
        <v>908</v>
      </c>
      <c r="E128">
        <v>1</v>
      </c>
      <c r="F128" t="str">
        <f>VLOOKUP(D128, Lookup_Table!$A$2:$B$10, 2, FALSE)</f>
        <v>Dr. Rao</v>
      </c>
      <c r="G128" t="str">
        <f t="shared" si="1"/>
        <v>Adult</v>
      </c>
    </row>
    <row r="129" spans="1:7" x14ac:dyDescent="0.3">
      <c r="A129" t="s">
        <v>140</v>
      </c>
      <c r="B129" t="s">
        <v>633</v>
      </c>
      <c r="C129">
        <v>43</v>
      </c>
      <c r="D129" t="s">
        <v>904</v>
      </c>
      <c r="E129">
        <v>1</v>
      </c>
      <c r="F129" t="str">
        <f>VLOOKUP(D129, Lookup_Table!$A$2:$B$10, 2, FALSE)</f>
        <v>Dr. Deshmukh</v>
      </c>
      <c r="G129" t="str">
        <f t="shared" si="1"/>
        <v>Adult</v>
      </c>
    </row>
    <row r="130" spans="1:7" x14ac:dyDescent="0.3">
      <c r="A130" t="s">
        <v>141</v>
      </c>
      <c r="B130" t="s">
        <v>634</v>
      </c>
      <c r="C130">
        <v>26</v>
      </c>
      <c r="D130" t="s">
        <v>909</v>
      </c>
      <c r="E130">
        <v>1</v>
      </c>
      <c r="F130" t="str">
        <f>VLOOKUP(D130, Lookup_Table!$A$2:$B$10, 2, FALSE)</f>
        <v>Dr. Tiwari</v>
      </c>
      <c r="G130" t="str">
        <f t="shared" si="1"/>
        <v>Adult</v>
      </c>
    </row>
    <row r="131" spans="1:7" x14ac:dyDescent="0.3">
      <c r="A131" t="s">
        <v>142</v>
      </c>
      <c r="B131" t="s">
        <v>635</v>
      </c>
      <c r="C131">
        <v>85</v>
      </c>
      <c r="D131" t="s">
        <v>905</v>
      </c>
      <c r="E131">
        <v>11</v>
      </c>
      <c r="F131" t="str">
        <f>VLOOKUP(D131, Lookup_Table!$A$2:$B$10, 2, FALSE)</f>
        <v>Dr. Gupta</v>
      </c>
      <c r="G131" t="str">
        <f t="shared" si="1"/>
        <v>Senior</v>
      </c>
    </row>
    <row r="132" spans="1:7" x14ac:dyDescent="0.3">
      <c r="A132" t="s">
        <v>143</v>
      </c>
      <c r="B132" t="s">
        <v>636</v>
      </c>
      <c r="C132">
        <v>26</v>
      </c>
      <c r="D132" t="s">
        <v>904</v>
      </c>
      <c r="E132">
        <v>5</v>
      </c>
      <c r="F132" t="str">
        <f>VLOOKUP(D132, Lookup_Table!$A$2:$B$10, 2, FALSE)</f>
        <v>Dr. Deshmukh</v>
      </c>
      <c r="G132" t="str">
        <f t="shared" si="1"/>
        <v>Adult</v>
      </c>
    </row>
    <row r="133" spans="1:7" x14ac:dyDescent="0.3">
      <c r="A133" t="s">
        <v>144</v>
      </c>
      <c r="B133" t="s">
        <v>637</v>
      </c>
      <c r="C133">
        <v>74</v>
      </c>
      <c r="D133" t="s">
        <v>905</v>
      </c>
      <c r="E133">
        <v>1</v>
      </c>
      <c r="F133" t="str">
        <f>VLOOKUP(D133, Lookup_Table!$A$2:$B$10, 2, FALSE)</f>
        <v>Dr. Gupta</v>
      </c>
      <c r="G133" t="str">
        <f t="shared" ref="G133:G196" si="2">IF(C133&lt;18,"Child", IF(C133&lt;60,"Adult","Senior"))</f>
        <v>Senior</v>
      </c>
    </row>
    <row r="134" spans="1:7" x14ac:dyDescent="0.3">
      <c r="A134" t="s">
        <v>145</v>
      </c>
      <c r="B134" t="s">
        <v>638</v>
      </c>
      <c r="C134">
        <v>42</v>
      </c>
      <c r="D134" t="s">
        <v>907</v>
      </c>
      <c r="E134">
        <v>7</v>
      </c>
      <c r="F134" t="str">
        <f>VLOOKUP(D134, Lookup_Table!$A$2:$B$10, 2, FALSE)</f>
        <v>Dr. Chatterjee</v>
      </c>
      <c r="G134" t="str">
        <f t="shared" si="2"/>
        <v>Adult</v>
      </c>
    </row>
    <row r="135" spans="1:7" x14ac:dyDescent="0.3">
      <c r="A135" t="s">
        <v>146</v>
      </c>
      <c r="B135" t="s">
        <v>639</v>
      </c>
      <c r="C135">
        <v>38</v>
      </c>
      <c r="D135" t="s">
        <v>908</v>
      </c>
      <c r="E135">
        <v>3</v>
      </c>
      <c r="F135" t="str">
        <f>VLOOKUP(D135, Lookup_Table!$A$2:$B$10, 2, FALSE)</f>
        <v>Dr. Rao</v>
      </c>
      <c r="G135" t="str">
        <f t="shared" si="2"/>
        <v>Adult</v>
      </c>
    </row>
    <row r="136" spans="1:7" x14ac:dyDescent="0.3">
      <c r="A136" t="s">
        <v>147</v>
      </c>
      <c r="B136" t="s">
        <v>640</v>
      </c>
      <c r="C136">
        <v>34</v>
      </c>
      <c r="D136" t="s">
        <v>909</v>
      </c>
      <c r="E136">
        <v>1</v>
      </c>
      <c r="F136" t="str">
        <f>VLOOKUP(D136, Lookup_Table!$A$2:$B$10, 2, FALSE)</f>
        <v>Dr. Tiwari</v>
      </c>
      <c r="G136" t="str">
        <f t="shared" si="2"/>
        <v>Adult</v>
      </c>
    </row>
    <row r="137" spans="1:7" x14ac:dyDescent="0.3">
      <c r="A137" t="s">
        <v>148</v>
      </c>
      <c r="B137" t="s">
        <v>641</v>
      </c>
      <c r="C137">
        <v>59</v>
      </c>
      <c r="D137" t="s">
        <v>903</v>
      </c>
      <c r="E137">
        <v>1</v>
      </c>
      <c r="F137" t="str">
        <f>VLOOKUP(D137, Lookup_Table!$A$2:$B$10, 2, FALSE)</f>
        <v>Dr. Mishra</v>
      </c>
      <c r="G137" t="str">
        <f t="shared" si="2"/>
        <v>Adult</v>
      </c>
    </row>
    <row r="138" spans="1:7" x14ac:dyDescent="0.3">
      <c r="A138" t="s">
        <v>149</v>
      </c>
      <c r="B138" t="s">
        <v>642</v>
      </c>
      <c r="C138">
        <v>29</v>
      </c>
      <c r="D138" t="s">
        <v>903</v>
      </c>
      <c r="E138">
        <v>1</v>
      </c>
      <c r="F138" t="str">
        <f>VLOOKUP(D138, Lookup_Table!$A$2:$B$10, 2, FALSE)</f>
        <v>Dr. Mishra</v>
      </c>
      <c r="G138" t="str">
        <f t="shared" si="2"/>
        <v>Adult</v>
      </c>
    </row>
    <row r="139" spans="1:7" x14ac:dyDescent="0.3">
      <c r="A139" t="s">
        <v>150</v>
      </c>
      <c r="B139" t="s">
        <v>576</v>
      </c>
      <c r="C139">
        <v>86</v>
      </c>
      <c r="D139" t="s">
        <v>902</v>
      </c>
      <c r="E139">
        <v>14</v>
      </c>
      <c r="F139" t="str">
        <f>VLOOKUP(D139, Lookup_Table!$A$2:$B$10, 2, FALSE)</f>
        <v>Dr. Sharma</v>
      </c>
      <c r="G139" t="str">
        <f t="shared" si="2"/>
        <v>Senior</v>
      </c>
    </row>
    <row r="140" spans="1:7" x14ac:dyDescent="0.3">
      <c r="A140" t="s">
        <v>151</v>
      </c>
      <c r="B140" t="s">
        <v>643</v>
      </c>
      <c r="C140">
        <v>14</v>
      </c>
      <c r="D140" t="s">
        <v>901</v>
      </c>
      <c r="E140">
        <v>1</v>
      </c>
      <c r="F140" t="str">
        <f>VLOOKUP(D140, Lookup_Table!$A$2:$B$10, 2, FALSE)</f>
        <v>Dr. Kapoor</v>
      </c>
      <c r="G140" t="str">
        <f t="shared" si="2"/>
        <v>Child</v>
      </c>
    </row>
    <row r="141" spans="1:7" x14ac:dyDescent="0.3">
      <c r="A141" t="s">
        <v>152</v>
      </c>
      <c r="B141" t="s">
        <v>644</v>
      </c>
      <c r="C141">
        <v>76</v>
      </c>
      <c r="D141" t="s">
        <v>907</v>
      </c>
      <c r="E141">
        <v>7</v>
      </c>
      <c r="F141" t="str">
        <f>VLOOKUP(D141, Lookup_Table!$A$2:$B$10, 2, FALSE)</f>
        <v>Dr. Chatterjee</v>
      </c>
      <c r="G141" t="str">
        <f t="shared" si="2"/>
        <v>Senior</v>
      </c>
    </row>
    <row r="142" spans="1:7" x14ac:dyDescent="0.3">
      <c r="A142" t="s">
        <v>153</v>
      </c>
      <c r="B142" t="s">
        <v>645</v>
      </c>
      <c r="C142">
        <v>49</v>
      </c>
      <c r="D142" t="s">
        <v>903</v>
      </c>
      <c r="E142">
        <v>4</v>
      </c>
      <c r="F142" t="str">
        <f>VLOOKUP(D142, Lookup_Table!$A$2:$B$10, 2, FALSE)</f>
        <v>Dr. Mishra</v>
      </c>
      <c r="G142" t="str">
        <f t="shared" si="2"/>
        <v>Adult</v>
      </c>
    </row>
    <row r="143" spans="1:7" x14ac:dyDescent="0.3">
      <c r="A143" t="s">
        <v>154</v>
      </c>
      <c r="B143" t="s">
        <v>646</v>
      </c>
      <c r="C143">
        <v>68</v>
      </c>
      <c r="D143" t="s">
        <v>909</v>
      </c>
      <c r="E143">
        <v>1</v>
      </c>
      <c r="F143" t="str">
        <f>VLOOKUP(D143, Lookup_Table!$A$2:$B$10, 2, FALSE)</f>
        <v>Dr. Tiwari</v>
      </c>
      <c r="G143" t="str">
        <f t="shared" si="2"/>
        <v>Senior</v>
      </c>
    </row>
    <row r="144" spans="1:7" x14ac:dyDescent="0.3">
      <c r="A144" t="s">
        <v>155</v>
      </c>
      <c r="B144" t="s">
        <v>548</v>
      </c>
      <c r="C144">
        <v>43</v>
      </c>
      <c r="D144" t="s">
        <v>902</v>
      </c>
      <c r="E144">
        <v>17</v>
      </c>
      <c r="F144" t="str">
        <f>VLOOKUP(D144, Lookup_Table!$A$2:$B$10, 2, FALSE)</f>
        <v>Dr. Sharma</v>
      </c>
      <c r="G144" t="str">
        <f t="shared" si="2"/>
        <v>Adult</v>
      </c>
    </row>
    <row r="145" spans="1:7" x14ac:dyDescent="0.3">
      <c r="A145" t="s">
        <v>156</v>
      </c>
      <c r="B145" t="s">
        <v>647</v>
      </c>
      <c r="C145">
        <v>82</v>
      </c>
      <c r="D145" t="s">
        <v>903</v>
      </c>
      <c r="E145">
        <v>13</v>
      </c>
      <c r="F145" t="str">
        <f>VLOOKUP(D145, Lookup_Table!$A$2:$B$10, 2, FALSE)</f>
        <v>Dr. Mishra</v>
      </c>
      <c r="G145" t="str">
        <f t="shared" si="2"/>
        <v>Senior</v>
      </c>
    </row>
    <row r="146" spans="1:7" x14ac:dyDescent="0.3">
      <c r="A146" t="s">
        <v>157</v>
      </c>
      <c r="B146" t="s">
        <v>648</v>
      </c>
      <c r="C146">
        <v>69</v>
      </c>
      <c r="D146" t="s">
        <v>907</v>
      </c>
      <c r="E146">
        <v>2</v>
      </c>
      <c r="F146" t="str">
        <f>VLOOKUP(D146, Lookup_Table!$A$2:$B$10, 2, FALSE)</f>
        <v>Dr. Chatterjee</v>
      </c>
      <c r="G146" t="str">
        <f t="shared" si="2"/>
        <v>Senior</v>
      </c>
    </row>
    <row r="147" spans="1:7" x14ac:dyDescent="0.3">
      <c r="A147" t="s">
        <v>158</v>
      </c>
      <c r="B147" t="s">
        <v>649</v>
      </c>
      <c r="C147">
        <v>58</v>
      </c>
      <c r="D147" t="s">
        <v>906</v>
      </c>
      <c r="E147">
        <v>3</v>
      </c>
      <c r="F147" t="str">
        <f>VLOOKUP(D147, Lookup_Table!$A$2:$B$10, 2, FALSE)</f>
        <v>Dr. Menon</v>
      </c>
      <c r="G147" t="str">
        <f t="shared" si="2"/>
        <v>Adult</v>
      </c>
    </row>
    <row r="148" spans="1:7" x14ac:dyDescent="0.3">
      <c r="A148" t="s">
        <v>159</v>
      </c>
      <c r="B148" t="s">
        <v>650</v>
      </c>
      <c r="C148">
        <v>60</v>
      </c>
      <c r="D148" t="s">
        <v>909</v>
      </c>
      <c r="E148">
        <v>1</v>
      </c>
      <c r="F148" t="str">
        <f>VLOOKUP(D148, Lookup_Table!$A$2:$B$10, 2, FALSE)</f>
        <v>Dr. Tiwari</v>
      </c>
      <c r="G148" t="str">
        <f t="shared" si="2"/>
        <v>Senior</v>
      </c>
    </row>
    <row r="149" spans="1:7" x14ac:dyDescent="0.3">
      <c r="A149" t="s">
        <v>160</v>
      </c>
      <c r="B149" t="s">
        <v>651</v>
      </c>
      <c r="C149">
        <v>36</v>
      </c>
      <c r="D149" t="s">
        <v>909</v>
      </c>
      <c r="E149">
        <v>1</v>
      </c>
      <c r="F149" t="str">
        <f>VLOOKUP(D149, Lookup_Table!$A$2:$B$10, 2, FALSE)</f>
        <v>Dr. Tiwari</v>
      </c>
      <c r="G149" t="str">
        <f t="shared" si="2"/>
        <v>Adult</v>
      </c>
    </row>
    <row r="150" spans="1:7" x14ac:dyDescent="0.3">
      <c r="A150" t="s">
        <v>161</v>
      </c>
      <c r="B150" t="s">
        <v>652</v>
      </c>
      <c r="C150">
        <v>15</v>
      </c>
      <c r="D150" t="s">
        <v>901</v>
      </c>
      <c r="E150">
        <v>1</v>
      </c>
      <c r="F150" t="str">
        <f>VLOOKUP(D150, Lookup_Table!$A$2:$B$10, 2, FALSE)</f>
        <v>Dr. Kapoor</v>
      </c>
      <c r="G150" t="str">
        <f t="shared" si="2"/>
        <v>Child</v>
      </c>
    </row>
    <row r="151" spans="1:7" x14ac:dyDescent="0.3">
      <c r="A151" t="s">
        <v>162</v>
      </c>
      <c r="B151" t="s">
        <v>653</v>
      </c>
      <c r="C151">
        <v>63</v>
      </c>
      <c r="D151" t="s">
        <v>909</v>
      </c>
      <c r="E151">
        <v>1</v>
      </c>
      <c r="F151" t="str">
        <f>VLOOKUP(D151, Lookup_Table!$A$2:$B$10, 2, FALSE)</f>
        <v>Dr. Tiwari</v>
      </c>
      <c r="G151" t="str">
        <f t="shared" si="2"/>
        <v>Senior</v>
      </c>
    </row>
    <row r="152" spans="1:7" x14ac:dyDescent="0.3">
      <c r="A152" t="s">
        <v>163</v>
      </c>
      <c r="B152" t="s">
        <v>549</v>
      </c>
      <c r="C152">
        <v>62</v>
      </c>
      <c r="D152" t="s">
        <v>909</v>
      </c>
      <c r="E152">
        <v>1</v>
      </c>
      <c r="F152" t="str">
        <f>VLOOKUP(D152, Lookup_Table!$A$2:$B$10, 2, FALSE)</f>
        <v>Dr. Tiwari</v>
      </c>
      <c r="G152" t="str">
        <f t="shared" si="2"/>
        <v>Senior</v>
      </c>
    </row>
    <row r="153" spans="1:7" x14ac:dyDescent="0.3">
      <c r="A153" t="s">
        <v>164</v>
      </c>
      <c r="B153" t="s">
        <v>654</v>
      </c>
      <c r="C153">
        <v>40</v>
      </c>
      <c r="D153" t="s">
        <v>902</v>
      </c>
      <c r="E153">
        <v>1</v>
      </c>
      <c r="F153" t="str">
        <f>VLOOKUP(D153, Lookup_Table!$A$2:$B$10, 2, FALSE)</f>
        <v>Dr. Sharma</v>
      </c>
      <c r="G153" t="str">
        <f t="shared" si="2"/>
        <v>Adult</v>
      </c>
    </row>
    <row r="154" spans="1:7" x14ac:dyDescent="0.3">
      <c r="A154" t="s">
        <v>165</v>
      </c>
      <c r="B154" t="s">
        <v>655</v>
      </c>
      <c r="C154">
        <v>16</v>
      </c>
      <c r="D154" t="s">
        <v>901</v>
      </c>
      <c r="E154">
        <v>1</v>
      </c>
      <c r="F154" t="str">
        <f>VLOOKUP(D154, Lookup_Table!$A$2:$B$10, 2, FALSE)</f>
        <v>Dr. Kapoor</v>
      </c>
      <c r="G154" t="str">
        <f t="shared" si="2"/>
        <v>Child</v>
      </c>
    </row>
    <row r="155" spans="1:7" x14ac:dyDescent="0.3">
      <c r="A155" t="s">
        <v>166</v>
      </c>
      <c r="B155" t="s">
        <v>656</v>
      </c>
      <c r="C155">
        <v>85</v>
      </c>
      <c r="D155" t="s">
        <v>908</v>
      </c>
      <c r="E155">
        <v>14</v>
      </c>
      <c r="F155" t="str">
        <f>VLOOKUP(D155, Lookup_Table!$A$2:$B$10, 2, FALSE)</f>
        <v>Dr. Rao</v>
      </c>
      <c r="G155" t="str">
        <f t="shared" si="2"/>
        <v>Senior</v>
      </c>
    </row>
    <row r="156" spans="1:7" x14ac:dyDescent="0.3">
      <c r="A156" t="s">
        <v>167</v>
      </c>
      <c r="B156" t="s">
        <v>536</v>
      </c>
      <c r="C156">
        <v>71</v>
      </c>
      <c r="D156" t="s">
        <v>906</v>
      </c>
      <c r="E156">
        <v>1</v>
      </c>
      <c r="F156" t="str">
        <f>VLOOKUP(D156, Lookup_Table!$A$2:$B$10, 2, FALSE)</f>
        <v>Dr. Menon</v>
      </c>
      <c r="G156" t="str">
        <f t="shared" si="2"/>
        <v>Senior</v>
      </c>
    </row>
    <row r="157" spans="1:7" x14ac:dyDescent="0.3">
      <c r="A157" t="s">
        <v>168</v>
      </c>
      <c r="B157" t="s">
        <v>657</v>
      </c>
      <c r="C157">
        <v>60</v>
      </c>
      <c r="D157" t="s">
        <v>903</v>
      </c>
      <c r="E157">
        <v>1</v>
      </c>
      <c r="F157" t="str">
        <f>VLOOKUP(D157, Lookup_Table!$A$2:$B$10, 2, FALSE)</f>
        <v>Dr. Mishra</v>
      </c>
      <c r="G157" t="str">
        <f t="shared" si="2"/>
        <v>Senior</v>
      </c>
    </row>
    <row r="158" spans="1:7" x14ac:dyDescent="0.3">
      <c r="A158" t="s">
        <v>169</v>
      </c>
      <c r="B158" t="s">
        <v>658</v>
      </c>
      <c r="C158">
        <v>76</v>
      </c>
      <c r="D158" t="s">
        <v>905</v>
      </c>
      <c r="E158">
        <v>4</v>
      </c>
      <c r="F158" t="str">
        <f>VLOOKUP(D158, Lookup_Table!$A$2:$B$10, 2, FALSE)</f>
        <v>Dr. Gupta</v>
      </c>
      <c r="G158" t="str">
        <f t="shared" si="2"/>
        <v>Senior</v>
      </c>
    </row>
    <row r="159" spans="1:7" x14ac:dyDescent="0.3">
      <c r="A159" t="s">
        <v>170</v>
      </c>
      <c r="B159" t="s">
        <v>659</v>
      </c>
      <c r="C159">
        <v>28</v>
      </c>
      <c r="D159" t="s">
        <v>904</v>
      </c>
      <c r="E159">
        <v>12</v>
      </c>
      <c r="F159" t="str">
        <f>VLOOKUP(D159, Lookup_Table!$A$2:$B$10, 2, FALSE)</f>
        <v>Dr. Deshmukh</v>
      </c>
      <c r="G159" t="str">
        <f t="shared" si="2"/>
        <v>Adult</v>
      </c>
    </row>
    <row r="160" spans="1:7" x14ac:dyDescent="0.3">
      <c r="A160" t="s">
        <v>171</v>
      </c>
      <c r="B160" t="s">
        <v>537</v>
      </c>
      <c r="C160">
        <v>10</v>
      </c>
      <c r="D160" t="s">
        <v>901</v>
      </c>
      <c r="E160">
        <v>1</v>
      </c>
      <c r="F160" t="str">
        <f>VLOOKUP(D160, Lookup_Table!$A$2:$B$10, 2, FALSE)</f>
        <v>Dr. Kapoor</v>
      </c>
      <c r="G160" t="str">
        <f t="shared" si="2"/>
        <v>Child</v>
      </c>
    </row>
    <row r="161" spans="1:7" x14ac:dyDescent="0.3">
      <c r="A161" t="s">
        <v>172</v>
      </c>
      <c r="B161" t="s">
        <v>660</v>
      </c>
      <c r="C161">
        <v>82</v>
      </c>
      <c r="D161" t="s">
        <v>903</v>
      </c>
      <c r="E161">
        <v>4</v>
      </c>
      <c r="F161" t="str">
        <f>VLOOKUP(D161, Lookup_Table!$A$2:$B$10, 2, FALSE)</f>
        <v>Dr. Mishra</v>
      </c>
      <c r="G161" t="str">
        <f t="shared" si="2"/>
        <v>Senior</v>
      </c>
    </row>
    <row r="162" spans="1:7" x14ac:dyDescent="0.3">
      <c r="A162" t="s">
        <v>173</v>
      </c>
      <c r="B162" t="s">
        <v>661</v>
      </c>
      <c r="C162">
        <v>71</v>
      </c>
      <c r="D162" t="s">
        <v>909</v>
      </c>
      <c r="E162">
        <v>2</v>
      </c>
      <c r="F162" t="str">
        <f>VLOOKUP(D162, Lookup_Table!$A$2:$B$10, 2, FALSE)</f>
        <v>Dr. Tiwari</v>
      </c>
      <c r="G162" t="str">
        <f t="shared" si="2"/>
        <v>Senior</v>
      </c>
    </row>
    <row r="163" spans="1:7" x14ac:dyDescent="0.3">
      <c r="A163" t="s">
        <v>174</v>
      </c>
      <c r="B163" t="s">
        <v>662</v>
      </c>
      <c r="C163">
        <v>32</v>
      </c>
      <c r="D163" t="s">
        <v>906</v>
      </c>
      <c r="E163">
        <v>1</v>
      </c>
      <c r="F163" t="str">
        <f>VLOOKUP(D163, Lookup_Table!$A$2:$B$10, 2, FALSE)</f>
        <v>Dr. Menon</v>
      </c>
      <c r="G163" t="str">
        <f t="shared" si="2"/>
        <v>Adult</v>
      </c>
    </row>
    <row r="164" spans="1:7" x14ac:dyDescent="0.3">
      <c r="A164" t="s">
        <v>175</v>
      </c>
      <c r="B164" t="s">
        <v>663</v>
      </c>
      <c r="C164">
        <v>25</v>
      </c>
      <c r="D164" t="s">
        <v>909</v>
      </c>
      <c r="E164">
        <v>2</v>
      </c>
      <c r="F164" t="str">
        <f>VLOOKUP(D164, Lookup_Table!$A$2:$B$10, 2, FALSE)</f>
        <v>Dr. Tiwari</v>
      </c>
      <c r="G164" t="str">
        <f t="shared" si="2"/>
        <v>Adult</v>
      </c>
    </row>
    <row r="165" spans="1:7" x14ac:dyDescent="0.3">
      <c r="A165" t="s">
        <v>176</v>
      </c>
      <c r="B165" t="s">
        <v>664</v>
      </c>
      <c r="C165">
        <v>27</v>
      </c>
      <c r="D165" t="s">
        <v>903</v>
      </c>
      <c r="E165">
        <v>1</v>
      </c>
      <c r="F165" t="str">
        <f>VLOOKUP(D165, Lookup_Table!$A$2:$B$10, 2, FALSE)</f>
        <v>Dr. Mishra</v>
      </c>
      <c r="G165" t="str">
        <f t="shared" si="2"/>
        <v>Adult</v>
      </c>
    </row>
    <row r="166" spans="1:7" x14ac:dyDescent="0.3">
      <c r="A166" t="s">
        <v>177</v>
      </c>
      <c r="B166" t="s">
        <v>665</v>
      </c>
      <c r="C166">
        <v>35</v>
      </c>
      <c r="D166" t="s">
        <v>903</v>
      </c>
      <c r="E166">
        <v>4</v>
      </c>
      <c r="F166" t="str">
        <f>VLOOKUP(D166, Lookup_Table!$A$2:$B$10, 2, FALSE)</f>
        <v>Dr. Mishra</v>
      </c>
      <c r="G166" t="str">
        <f t="shared" si="2"/>
        <v>Adult</v>
      </c>
    </row>
    <row r="167" spans="1:7" x14ac:dyDescent="0.3">
      <c r="A167" t="s">
        <v>178</v>
      </c>
      <c r="B167" t="s">
        <v>666</v>
      </c>
      <c r="C167">
        <v>62</v>
      </c>
      <c r="D167" t="s">
        <v>906</v>
      </c>
      <c r="E167">
        <v>5</v>
      </c>
      <c r="F167" t="str">
        <f>VLOOKUP(D167, Lookup_Table!$A$2:$B$10, 2, FALSE)</f>
        <v>Dr. Menon</v>
      </c>
      <c r="G167" t="str">
        <f t="shared" si="2"/>
        <v>Senior</v>
      </c>
    </row>
    <row r="168" spans="1:7" x14ac:dyDescent="0.3">
      <c r="A168" t="s">
        <v>179</v>
      </c>
      <c r="B168" t="s">
        <v>667</v>
      </c>
      <c r="C168">
        <v>66</v>
      </c>
      <c r="D168" t="s">
        <v>909</v>
      </c>
      <c r="E168">
        <v>1</v>
      </c>
      <c r="F168" t="str">
        <f>VLOOKUP(D168, Lookup_Table!$A$2:$B$10, 2, FALSE)</f>
        <v>Dr. Tiwari</v>
      </c>
      <c r="G168" t="str">
        <f t="shared" si="2"/>
        <v>Senior</v>
      </c>
    </row>
    <row r="169" spans="1:7" x14ac:dyDescent="0.3">
      <c r="A169" t="s">
        <v>180</v>
      </c>
      <c r="B169" t="s">
        <v>668</v>
      </c>
      <c r="C169">
        <v>38</v>
      </c>
      <c r="D169" t="s">
        <v>902</v>
      </c>
      <c r="E169">
        <v>1</v>
      </c>
      <c r="F169" t="str">
        <f>VLOOKUP(D169, Lookup_Table!$A$2:$B$10, 2, FALSE)</f>
        <v>Dr. Sharma</v>
      </c>
      <c r="G169" t="str">
        <f t="shared" si="2"/>
        <v>Adult</v>
      </c>
    </row>
    <row r="170" spans="1:7" x14ac:dyDescent="0.3">
      <c r="A170" t="s">
        <v>181</v>
      </c>
      <c r="B170" t="s">
        <v>669</v>
      </c>
      <c r="C170">
        <v>16</v>
      </c>
      <c r="D170" t="s">
        <v>901</v>
      </c>
      <c r="E170">
        <v>5</v>
      </c>
      <c r="F170" t="str">
        <f>VLOOKUP(D170, Lookup_Table!$A$2:$B$10, 2, FALSE)</f>
        <v>Dr. Kapoor</v>
      </c>
      <c r="G170" t="str">
        <f t="shared" si="2"/>
        <v>Child</v>
      </c>
    </row>
    <row r="171" spans="1:7" x14ac:dyDescent="0.3">
      <c r="A171" t="s">
        <v>182</v>
      </c>
      <c r="B171" t="s">
        <v>670</v>
      </c>
      <c r="C171">
        <v>61</v>
      </c>
      <c r="D171" t="s">
        <v>908</v>
      </c>
      <c r="E171">
        <v>2</v>
      </c>
      <c r="F171" t="str">
        <f>VLOOKUP(D171, Lookup_Table!$A$2:$B$10, 2, FALSE)</f>
        <v>Dr. Rao</v>
      </c>
      <c r="G171" t="str">
        <f t="shared" si="2"/>
        <v>Senior</v>
      </c>
    </row>
    <row r="172" spans="1:7" x14ac:dyDescent="0.3">
      <c r="A172" t="s">
        <v>183</v>
      </c>
      <c r="B172" t="s">
        <v>671</v>
      </c>
      <c r="C172">
        <v>44</v>
      </c>
      <c r="D172" t="s">
        <v>907</v>
      </c>
      <c r="E172">
        <v>2</v>
      </c>
      <c r="F172" t="str">
        <f>VLOOKUP(D172, Lookup_Table!$A$2:$B$10, 2, FALSE)</f>
        <v>Dr. Chatterjee</v>
      </c>
      <c r="G172" t="str">
        <f t="shared" si="2"/>
        <v>Adult</v>
      </c>
    </row>
    <row r="173" spans="1:7" x14ac:dyDescent="0.3">
      <c r="A173" t="s">
        <v>184</v>
      </c>
      <c r="B173" t="s">
        <v>621</v>
      </c>
      <c r="C173">
        <v>85</v>
      </c>
      <c r="D173" t="s">
        <v>906</v>
      </c>
      <c r="E173">
        <v>1</v>
      </c>
      <c r="F173" t="str">
        <f>VLOOKUP(D173, Lookup_Table!$A$2:$B$10, 2, FALSE)</f>
        <v>Dr. Menon</v>
      </c>
      <c r="G173" t="str">
        <f t="shared" si="2"/>
        <v>Senior</v>
      </c>
    </row>
    <row r="174" spans="1:7" x14ac:dyDescent="0.3">
      <c r="A174" t="s">
        <v>185</v>
      </c>
      <c r="B174" t="s">
        <v>672</v>
      </c>
      <c r="C174">
        <v>12</v>
      </c>
      <c r="D174" t="s">
        <v>901</v>
      </c>
      <c r="E174">
        <v>2</v>
      </c>
      <c r="F174" t="str">
        <f>VLOOKUP(D174, Lookup_Table!$A$2:$B$10, 2, FALSE)</f>
        <v>Dr. Kapoor</v>
      </c>
      <c r="G174" t="str">
        <f t="shared" si="2"/>
        <v>Child</v>
      </c>
    </row>
    <row r="175" spans="1:7" x14ac:dyDescent="0.3">
      <c r="A175" t="s">
        <v>186</v>
      </c>
      <c r="B175" t="s">
        <v>673</v>
      </c>
      <c r="C175">
        <v>48</v>
      </c>
      <c r="D175" t="s">
        <v>907</v>
      </c>
      <c r="E175">
        <v>11</v>
      </c>
      <c r="F175" t="str">
        <f>VLOOKUP(D175, Lookup_Table!$A$2:$B$10, 2, FALSE)</f>
        <v>Dr. Chatterjee</v>
      </c>
      <c r="G175" t="str">
        <f t="shared" si="2"/>
        <v>Adult</v>
      </c>
    </row>
    <row r="176" spans="1:7" x14ac:dyDescent="0.3">
      <c r="A176" t="s">
        <v>187</v>
      </c>
      <c r="B176" t="s">
        <v>674</v>
      </c>
      <c r="C176">
        <v>66</v>
      </c>
      <c r="D176" t="s">
        <v>906</v>
      </c>
      <c r="E176">
        <v>1</v>
      </c>
      <c r="F176" t="str">
        <f>VLOOKUP(D176, Lookup_Table!$A$2:$B$10, 2, FALSE)</f>
        <v>Dr. Menon</v>
      </c>
      <c r="G176" t="str">
        <f t="shared" si="2"/>
        <v>Senior</v>
      </c>
    </row>
    <row r="177" spans="1:7" x14ac:dyDescent="0.3">
      <c r="A177" t="s">
        <v>188</v>
      </c>
      <c r="B177" t="s">
        <v>675</v>
      </c>
      <c r="C177">
        <v>13</v>
      </c>
      <c r="D177" t="s">
        <v>901</v>
      </c>
      <c r="E177">
        <v>2</v>
      </c>
      <c r="F177" t="str">
        <f>VLOOKUP(D177, Lookup_Table!$A$2:$B$10, 2, FALSE)</f>
        <v>Dr. Kapoor</v>
      </c>
      <c r="G177" t="str">
        <f t="shared" si="2"/>
        <v>Child</v>
      </c>
    </row>
    <row r="178" spans="1:7" x14ac:dyDescent="0.3">
      <c r="A178" t="s">
        <v>189</v>
      </c>
      <c r="B178" t="s">
        <v>676</v>
      </c>
      <c r="C178">
        <v>12</v>
      </c>
      <c r="D178" t="s">
        <v>901</v>
      </c>
      <c r="E178">
        <v>1</v>
      </c>
      <c r="F178" t="str">
        <f>VLOOKUP(D178, Lookup_Table!$A$2:$B$10, 2, FALSE)</f>
        <v>Dr. Kapoor</v>
      </c>
      <c r="G178" t="str">
        <f t="shared" si="2"/>
        <v>Child</v>
      </c>
    </row>
    <row r="179" spans="1:7" x14ac:dyDescent="0.3">
      <c r="A179" t="s">
        <v>190</v>
      </c>
      <c r="B179" t="s">
        <v>677</v>
      </c>
      <c r="C179">
        <v>74</v>
      </c>
      <c r="D179" t="s">
        <v>907</v>
      </c>
      <c r="E179">
        <v>10</v>
      </c>
      <c r="F179" t="str">
        <f>VLOOKUP(D179, Lookup_Table!$A$2:$B$10, 2, FALSE)</f>
        <v>Dr. Chatterjee</v>
      </c>
      <c r="G179" t="str">
        <f t="shared" si="2"/>
        <v>Senior</v>
      </c>
    </row>
    <row r="180" spans="1:7" x14ac:dyDescent="0.3">
      <c r="A180" t="s">
        <v>191</v>
      </c>
      <c r="B180" t="s">
        <v>678</v>
      </c>
      <c r="C180">
        <v>25</v>
      </c>
      <c r="D180" t="s">
        <v>904</v>
      </c>
      <c r="E180">
        <v>1</v>
      </c>
      <c r="F180" t="str">
        <f>VLOOKUP(D180, Lookup_Table!$A$2:$B$10, 2, FALSE)</f>
        <v>Dr. Deshmukh</v>
      </c>
      <c r="G180" t="str">
        <f t="shared" si="2"/>
        <v>Adult</v>
      </c>
    </row>
    <row r="181" spans="1:7" x14ac:dyDescent="0.3">
      <c r="A181" t="s">
        <v>192</v>
      </c>
      <c r="B181" t="s">
        <v>679</v>
      </c>
      <c r="C181">
        <v>61</v>
      </c>
      <c r="D181" t="s">
        <v>902</v>
      </c>
      <c r="E181">
        <v>5</v>
      </c>
      <c r="F181" t="str">
        <f>VLOOKUP(D181, Lookup_Table!$A$2:$B$10, 2, FALSE)</f>
        <v>Dr. Sharma</v>
      </c>
      <c r="G181" t="str">
        <f t="shared" si="2"/>
        <v>Senior</v>
      </c>
    </row>
    <row r="182" spans="1:7" x14ac:dyDescent="0.3">
      <c r="A182" t="s">
        <v>193</v>
      </c>
      <c r="B182" t="s">
        <v>680</v>
      </c>
      <c r="C182">
        <v>48</v>
      </c>
      <c r="D182" t="s">
        <v>905</v>
      </c>
      <c r="E182">
        <v>3</v>
      </c>
      <c r="F182" t="str">
        <f>VLOOKUP(D182, Lookup_Table!$A$2:$B$10, 2, FALSE)</f>
        <v>Dr. Gupta</v>
      </c>
      <c r="G182" t="str">
        <f t="shared" si="2"/>
        <v>Adult</v>
      </c>
    </row>
    <row r="183" spans="1:7" x14ac:dyDescent="0.3">
      <c r="A183" t="s">
        <v>194</v>
      </c>
      <c r="B183" t="s">
        <v>614</v>
      </c>
      <c r="C183">
        <v>2</v>
      </c>
      <c r="D183" t="s">
        <v>901</v>
      </c>
      <c r="E183">
        <v>8</v>
      </c>
      <c r="F183" t="str">
        <f>VLOOKUP(D183, Lookup_Table!$A$2:$B$10, 2, FALSE)</f>
        <v>Dr. Kapoor</v>
      </c>
      <c r="G183" t="str">
        <f t="shared" si="2"/>
        <v>Child</v>
      </c>
    </row>
    <row r="184" spans="1:7" x14ac:dyDescent="0.3">
      <c r="A184" t="s">
        <v>195</v>
      </c>
      <c r="B184" t="s">
        <v>681</v>
      </c>
      <c r="C184">
        <v>60</v>
      </c>
      <c r="D184" t="s">
        <v>905</v>
      </c>
      <c r="E184">
        <v>1</v>
      </c>
      <c r="F184" t="str">
        <f>VLOOKUP(D184, Lookup_Table!$A$2:$B$10, 2, FALSE)</f>
        <v>Dr. Gupta</v>
      </c>
      <c r="G184" t="str">
        <f t="shared" si="2"/>
        <v>Senior</v>
      </c>
    </row>
    <row r="185" spans="1:7" x14ac:dyDescent="0.3">
      <c r="A185" t="s">
        <v>196</v>
      </c>
      <c r="B185" t="s">
        <v>682</v>
      </c>
      <c r="C185">
        <v>22</v>
      </c>
      <c r="D185" t="s">
        <v>905</v>
      </c>
      <c r="E185">
        <v>2</v>
      </c>
      <c r="F185" t="str">
        <f>VLOOKUP(D185, Lookup_Table!$A$2:$B$10, 2, FALSE)</f>
        <v>Dr. Gupta</v>
      </c>
      <c r="G185" t="str">
        <f t="shared" si="2"/>
        <v>Adult</v>
      </c>
    </row>
    <row r="186" spans="1:7" x14ac:dyDescent="0.3">
      <c r="A186" t="s">
        <v>197</v>
      </c>
      <c r="B186" t="s">
        <v>683</v>
      </c>
      <c r="C186">
        <v>67</v>
      </c>
      <c r="D186" t="s">
        <v>908</v>
      </c>
      <c r="E186">
        <v>1</v>
      </c>
      <c r="F186" t="str">
        <f>VLOOKUP(D186, Lookup_Table!$A$2:$B$10, 2, FALSE)</f>
        <v>Dr. Rao</v>
      </c>
      <c r="G186" t="str">
        <f t="shared" si="2"/>
        <v>Senior</v>
      </c>
    </row>
    <row r="187" spans="1:7" x14ac:dyDescent="0.3">
      <c r="A187" t="s">
        <v>198</v>
      </c>
      <c r="B187" t="s">
        <v>628</v>
      </c>
      <c r="C187">
        <v>50</v>
      </c>
      <c r="D187" t="s">
        <v>902</v>
      </c>
      <c r="E187">
        <v>12</v>
      </c>
      <c r="F187" t="str">
        <f>VLOOKUP(D187, Lookup_Table!$A$2:$B$10, 2, FALSE)</f>
        <v>Dr. Sharma</v>
      </c>
      <c r="G187" t="str">
        <f t="shared" si="2"/>
        <v>Adult</v>
      </c>
    </row>
    <row r="188" spans="1:7" x14ac:dyDescent="0.3">
      <c r="A188" t="s">
        <v>199</v>
      </c>
      <c r="B188" t="s">
        <v>684</v>
      </c>
      <c r="C188">
        <v>12</v>
      </c>
      <c r="D188" t="s">
        <v>901</v>
      </c>
      <c r="E188">
        <v>6</v>
      </c>
      <c r="F188" t="str">
        <f>VLOOKUP(D188, Lookup_Table!$A$2:$B$10, 2, FALSE)</f>
        <v>Dr. Kapoor</v>
      </c>
      <c r="G188" t="str">
        <f t="shared" si="2"/>
        <v>Child</v>
      </c>
    </row>
    <row r="189" spans="1:7" x14ac:dyDescent="0.3">
      <c r="A189" t="s">
        <v>200</v>
      </c>
      <c r="B189" t="s">
        <v>685</v>
      </c>
      <c r="C189">
        <v>37</v>
      </c>
      <c r="D189" t="s">
        <v>903</v>
      </c>
      <c r="E189">
        <v>1</v>
      </c>
      <c r="F189" t="str">
        <f>VLOOKUP(D189, Lookup_Table!$A$2:$B$10, 2, FALSE)</f>
        <v>Dr. Mishra</v>
      </c>
      <c r="G189" t="str">
        <f t="shared" si="2"/>
        <v>Adult</v>
      </c>
    </row>
    <row r="190" spans="1:7" x14ac:dyDescent="0.3">
      <c r="A190" t="s">
        <v>201</v>
      </c>
      <c r="B190" t="s">
        <v>539</v>
      </c>
      <c r="C190">
        <v>75</v>
      </c>
      <c r="D190" t="s">
        <v>905</v>
      </c>
      <c r="E190">
        <v>7</v>
      </c>
      <c r="F190" t="str">
        <f>VLOOKUP(D190, Lookup_Table!$A$2:$B$10, 2, FALSE)</f>
        <v>Dr. Gupta</v>
      </c>
      <c r="G190" t="str">
        <f t="shared" si="2"/>
        <v>Senior</v>
      </c>
    </row>
    <row r="191" spans="1:7" x14ac:dyDescent="0.3">
      <c r="A191" t="s">
        <v>202</v>
      </c>
      <c r="B191" t="s">
        <v>686</v>
      </c>
      <c r="C191">
        <v>28</v>
      </c>
      <c r="D191" t="s">
        <v>903</v>
      </c>
      <c r="E191">
        <v>6</v>
      </c>
      <c r="F191" t="str">
        <f>VLOOKUP(D191, Lookup_Table!$A$2:$B$10, 2, FALSE)</f>
        <v>Dr. Mishra</v>
      </c>
      <c r="G191" t="str">
        <f t="shared" si="2"/>
        <v>Adult</v>
      </c>
    </row>
    <row r="192" spans="1:7" x14ac:dyDescent="0.3">
      <c r="A192" t="s">
        <v>203</v>
      </c>
      <c r="B192" t="s">
        <v>687</v>
      </c>
      <c r="C192">
        <v>53</v>
      </c>
      <c r="D192" t="s">
        <v>905</v>
      </c>
      <c r="E192">
        <v>5</v>
      </c>
      <c r="F192" t="str">
        <f>VLOOKUP(D192, Lookup_Table!$A$2:$B$10, 2, FALSE)</f>
        <v>Dr. Gupta</v>
      </c>
      <c r="G192" t="str">
        <f t="shared" si="2"/>
        <v>Adult</v>
      </c>
    </row>
    <row r="193" spans="1:7" x14ac:dyDescent="0.3">
      <c r="A193" t="s">
        <v>204</v>
      </c>
      <c r="B193" t="s">
        <v>571</v>
      </c>
      <c r="C193">
        <v>4</v>
      </c>
      <c r="D193" t="s">
        <v>901</v>
      </c>
      <c r="E193">
        <v>2</v>
      </c>
      <c r="F193" t="str">
        <f>VLOOKUP(D193, Lookup_Table!$A$2:$B$10, 2, FALSE)</f>
        <v>Dr. Kapoor</v>
      </c>
      <c r="G193" t="str">
        <f t="shared" si="2"/>
        <v>Child</v>
      </c>
    </row>
    <row r="194" spans="1:7" x14ac:dyDescent="0.3">
      <c r="A194" t="s">
        <v>205</v>
      </c>
      <c r="B194" t="s">
        <v>688</v>
      </c>
      <c r="C194">
        <v>69</v>
      </c>
      <c r="D194" t="s">
        <v>908</v>
      </c>
      <c r="E194">
        <v>1</v>
      </c>
      <c r="F194" t="str">
        <f>VLOOKUP(D194, Lookup_Table!$A$2:$B$10, 2, FALSE)</f>
        <v>Dr. Rao</v>
      </c>
      <c r="G194" t="str">
        <f t="shared" si="2"/>
        <v>Senior</v>
      </c>
    </row>
    <row r="195" spans="1:7" x14ac:dyDescent="0.3">
      <c r="A195" t="s">
        <v>206</v>
      </c>
      <c r="B195" t="s">
        <v>689</v>
      </c>
      <c r="C195">
        <v>78</v>
      </c>
      <c r="D195" t="s">
        <v>907</v>
      </c>
      <c r="E195">
        <v>1</v>
      </c>
      <c r="F195" t="str">
        <f>VLOOKUP(D195, Lookup_Table!$A$2:$B$10, 2, FALSE)</f>
        <v>Dr. Chatterjee</v>
      </c>
      <c r="G195" t="str">
        <f t="shared" si="2"/>
        <v>Senior</v>
      </c>
    </row>
    <row r="196" spans="1:7" x14ac:dyDescent="0.3">
      <c r="A196" t="s">
        <v>207</v>
      </c>
      <c r="B196" t="s">
        <v>690</v>
      </c>
      <c r="C196">
        <v>70</v>
      </c>
      <c r="D196" t="s">
        <v>909</v>
      </c>
      <c r="E196">
        <v>4</v>
      </c>
      <c r="F196" t="str">
        <f>VLOOKUP(D196, Lookup_Table!$A$2:$B$10, 2, FALSE)</f>
        <v>Dr. Tiwari</v>
      </c>
      <c r="G196" t="str">
        <f t="shared" si="2"/>
        <v>Senior</v>
      </c>
    </row>
    <row r="197" spans="1:7" x14ac:dyDescent="0.3">
      <c r="A197" t="s">
        <v>208</v>
      </c>
      <c r="B197" t="s">
        <v>666</v>
      </c>
      <c r="C197">
        <v>69</v>
      </c>
      <c r="D197" t="s">
        <v>909</v>
      </c>
      <c r="E197">
        <v>4</v>
      </c>
      <c r="F197" t="str">
        <f>VLOOKUP(D197, Lookup_Table!$A$2:$B$10, 2, FALSE)</f>
        <v>Dr. Tiwari</v>
      </c>
      <c r="G197" t="str">
        <f t="shared" ref="G197:G260" si="3">IF(C197&lt;18,"Child", IF(C197&lt;60,"Adult","Senior"))</f>
        <v>Senior</v>
      </c>
    </row>
    <row r="198" spans="1:7" x14ac:dyDescent="0.3">
      <c r="A198" t="s">
        <v>209</v>
      </c>
      <c r="B198" t="s">
        <v>691</v>
      </c>
      <c r="C198">
        <v>69</v>
      </c>
      <c r="D198" t="s">
        <v>907</v>
      </c>
      <c r="E198">
        <v>10</v>
      </c>
      <c r="F198" t="str">
        <f>VLOOKUP(D198, Lookup_Table!$A$2:$B$10, 2, FALSE)</f>
        <v>Dr. Chatterjee</v>
      </c>
      <c r="G198" t="str">
        <f t="shared" si="3"/>
        <v>Senior</v>
      </c>
    </row>
    <row r="199" spans="1:7" x14ac:dyDescent="0.3">
      <c r="A199" t="s">
        <v>210</v>
      </c>
      <c r="B199" t="s">
        <v>692</v>
      </c>
      <c r="C199">
        <v>16</v>
      </c>
      <c r="D199" t="s">
        <v>901</v>
      </c>
      <c r="E199">
        <v>1</v>
      </c>
      <c r="F199" t="str">
        <f>VLOOKUP(D199, Lookup_Table!$A$2:$B$10, 2, FALSE)</f>
        <v>Dr. Kapoor</v>
      </c>
      <c r="G199" t="str">
        <f t="shared" si="3"/>
        <v>Child</v>
      </c>
    </row>
    <row r="200" spans="1:7" x14ac:dyDescent="0.3">
      <c r="A200" t="s">
        <v>211</v>
      </c>
      <c r="B200" t="s">
        <v>693</v>
      </c>
      <c r="C200">
        <v>71</v>
      </c>
      <c r="D200" t="s">
        <v>909</v>
      </c>
      <c r="E200">
        <v>1</v>
      </c>
      <c r="F200" t="str">
        <f>VLOOKUP(D200, Lookup_Table!$A$2:$B$10, 2, FALSE)</f>
        <v>Dr. Tiwari</v>
      </c>
      <c r="G200" t="str">
        <f t="shared" si="3"/>
        <v>Senior</v>
      </c>
    </row>
    <row r="201" spans="1:7" x14ac:dyDescent="0.3">
      <c r="A201" t="s">
        <v>212</v>
      </c>
      <c r="B201" t="s">
        <v>694</v>
      </c>
      <c r="C201">
        <v>75</v>
      </c>
      <c r="D201" t="s">
        <v>905</v>
      </c>
      <c r="E201">
        <v>9</v>
      </c>
      <c r="F201" t="str">
        <f>VLOOKUP(D201, Lookup_Table!$A$2:$B$10, 2, FALSE)</f>
        <v>Dr. Gupta</v>
      </c>
      <c r="G201" t="str">
        <f t="shared" si="3"/>
        <v>Senior</v>
      </c>
    </row>
    <row r="202" spans="1:7" x14ac:dyDescent="0.3">
      <c r="A202" t="s">
        <v>213</v>
      </c>
      <c r="B202" t="s">
        <v>695</v>
      </c>
      <c r="C202">
        <v>38</v>
      </c>
      <c r="D202" t="s">
        <v>906</v>
      </c>
      <c r="E202">
        <v>11</v>
      </c>
      <c r="F202" t="str">
        <f>VLOOKUP(D202, Lookup_Table!$A$2:$B$10, 2, FALSE)</f>
        <v>Dr. Menon</v>
      </c>
      <c r="G202" t="str">
        <f t="shared" si="3"/>
        <v>Adult</v>
      </c>
    </row>
    <row r="203" spans="1:7" x14ac:dyDescent="0.3">
      <c r="A203" t="s">
        <v>214</v>
      </c>
      <c r="B203" t="s">
        <v>696</v>
      </c>
      <c r="C203">
        <v>62</v>
      </c>
      <c r="D203" t="s">
        <v>902</v>
      </c>
      <c r="E203">
        <v>10</v>
      </c>
      <c r="F203" t="str">
        <f>VLOOKUP(D203, Lookup_Table!$A$2:$B$10, 2, FALSE)</f>
        <v>Dr. Sharma</v>
      </c>
      <c r="G203" t="str">
        <f t="shared" si="3"/>
        <v>Senior</v>
      </c>
    </row>
    <row r="204" spans="1:7" x14ac:dyDescent="0.3">
      <c r="A204" t="s">
        <v>215</v>
      </c>
      <c r="B204" t="s">
        <v>697</v>
      </c>
      <c r="C204">
        <v>59</v>
      </c>
      <c r="D204" t="s">
        <v>906</v>
      </c>
      <c r="E204">
        <v>7</v>
      </c>
      <c r="F204" t="str">
        <f>VLOOKUP(D204, Lookup_Table!$A$2:$B$10, 2, FALSE)</f>
        <v>Dr. Menon</v>
      </c>
      <c r="G204" t="str">
        <f t="shared" si="3"/>
        <v>Adult</v>
      </c>
    </row>
    <row r="205" spans="1:7" x14ac:dyDescent="0.3">
      <c r="A205" t="s">
        <v>216</v>
      </c>
      <c r="B205" t="s">
        <v>698</v>
      </c>
      <c r="C205">
        <v>76</v>
      </c>
      <c r="D205" t="s">
        <v>905</v>
      </c>
      <c r="E205">
        <v>7</v>
      </c>
      <c r="F205" t="str">
        <f>VLOOKUP(D205, Lookup_Table!$A$2:$B$10, 2, FALSE)</f>
        <v>Dr. Gupta</v>
      </c>
      <c r="G205" t="str">
        <f t="shared" si="3"/>
        <v>Senior</v>
      </c>
    </row>
    <row r="206" spans="1:7" x14ac:dyDescent="0.3">
      <c r="A206" t="s">
        <v>217</v>
      </c>
      <c r="B206" t="s">
        <v>699</v>
      </c>
      <c r="C206">
        <v>5</v>
      </c>
      <c r="D206" t="s">
        <v>901</v>
      </c>
      <c r="E206">
        <v>1</v>
      </c>
      <c r="F206" t="str">
        <f>VLOOKUP(D206, Lookup_Table!$A$2:$B$10, 2, FALSE)</f>
        <v>Dr. Kapoor</v>
      </c>
      <c r="G206" t="str">
        <f t="shared" si="3"/>
        <v>Child</v>
      </c>
    </row>
    <row r="207" spans="1:7" x14ac:dyDescent="0.3">
      <c r="A207" t="s">
        <v>218</v>
      </c>
      <c r="B207" t="s">
        <v>564</v>
      </c>
      <c r="C207">
        <v>39</v>
      </c>
      <c r="D207" t="s">
        <v>906</v>
      </c>
      <c r="E207">
        <v>1</v>
      </c>
      <c r="F207" t="str">
        <f>VLOOKUP(D207, Lookup_Table!$A$2:$B$10, 2, FALSE)</f>
        <v>Dr. Menon</v>
      </c>
      <c r="G207" t="str">
        <f t="shared" si="3"/>
        <v>Adult</v>
      </c>
    </row>
    <row r="208" spans="1:7" x14ac:dyDescent="0.3">
      <c r="A208" t="s">
        <v>219</v>
      </c>
      <c r="B208" t="s">
        <v>661</v>
      </c>
      <c r="C208">
        <v>16</v>
      </c>
      <c r="D208" t="s">
        <v>901</v>
      </c>
      <c r="E208">
        <v>6</v>
      </c>
      <c r="F208" t="str">
        <f>VLOOKUP(D208, Lookup_Table!$A$2:$B$10, 2, FALSE)</f>
        <v>Dr. Kapoor</v>
      </c>
      <c r="G208" t="str">
        <f t="shared" si="3"/>
        <v>Child</v>
      </c>
    </row>
    <row r="209" spans="1:7" x14ac:dyDescent="0.3">
      <c r="A209" t="s">
        <v>220</v>
      </c>
      <c r="B209" t="s">
        <v>700</v>
      </c>
      <c r="C209">
        <v>34</v>
      </c>
      <c r="D209" t="s">
        <v>902</v>
      </c>
      <c r="E209">
        <v>4</v>
      </c>
      <c r="F209" t="str">
        <f>VLOOKUP(D209, Lookup_Table!$A$2:$B$10, 2, FALSE)</f>
        <v>Dr. Sharma</v>
      </c>
      <c r="G209" t="str">
        <f t="shared" si="3"/>
        <v>Adult</v>
      </c>
    </row>
    <row r="210" spans="1:7" x14ac:dyDescent="0.3">
      <c r="A210" t="s">
        <v>221</v>
      </c>
      <c r="B210" t="s">
        <v>701</v>
      </c>
      <c r="C210">
        <v>52</v>
      </c>
      <c r="D210" t="s">
        <v>905</v>
      </c>
      <c r="E210">
        <v>1</v>
      </c>
      <c r="F210" t="str">
        <f>VLOOKUP(D210, Lookup_Table!$A$2:$B$10, 2, FALSE)</f>
        <v>Dr. Gupta</v>
      </c>
      <c r="G210" t="str">
        <f t="shared" si="3"/>
        <v>Adult</v>
      </c>
    </row>
    <row r="211" spans="1:7" x14ac:dyDescent="0.3">
      <c r="A211" t="s">
        <v>222</v>
      </c>
      <c r="B211" t="s">
        <v>593</v>
      </c>
      <c r="C211">
        <v>14</v>
      </c>
      <c r="D211" t="s">
        <v>901</v>
      </c>
      <c r="E211">
        <v>1</v>
      </c>
      <c r="F211" t="str">
        <f>VLOOKUP(D211, Lookup_Table!$A$2:$B$10, 2, FALSE)</f>
        <v>Dr. Kapoor</v>
      </c>
      <c r="G211" t="str">
        <f t="shared" si="3"/>
        <v>Child</v>
      </c>
    </row>
    <row r="212" spans="1:7" x14ac:dyDescent="0.3">
      <c r="A212" t="s">
        <v>223</v>
      </c>
      <c r="B212" t="s">
        <v>702</v>
      </c>
      <c r="C212">
        <v>61</v>
      </c>
      <c r="D212" t="s">
        <v>907</v>
      </c>
      <c r="E212">
        <v>10</v>
      </c>
      <c r="F212" t="str">
        <f>VLOOKUP(D212, Lookup_Table!$A$2:$B$10, 2, FALSE)</f>
        <v>Dr. Chatterjee</v>
      </c>
      <c r="G212" t="str">
        <f t="shared" si="3"/>
        <v>Senior</v>
      </c>
    </row>
    <row r="213" spans="1:7" x14ac:dyDescent="0.3">
      <c r="A213" t="s">
        <v>224</v>
      </c>
      <c r="B213" t="s">
        <v>703</v>
      </c>
      <c r="C213">
        <v>54</v>
      </c>
      <c r="D213" t="s">
        <v>908</v>
      </c>
      <c r="E213">
        <v>1</v>
      </c>
      <c r="F213" t="str">
        <f>VLOOKUP(D213, Lookup_Table!$A$2:$B$10, 2, FALSE)</f>
        <v>Dr. Rao</v>
      </c>
      <c r="G213" t="str">
        <f t="shared" si="3"/>
        <v>Adult</v>
      </c>
    </row>
    <row r="214" spans="1:7" x14ac:dyDescent="0.3">
      <c r="A214" t="s">
        <v>225</v>
      </c>
      <c r="B214" t="s">
        <v>704</v>
      </c>
      <c r="C214">
        <v>44</v>
      </c>
      <c r="D214" t="s">
        <v>908</v>
      </c>
      <c r="E214">
        <v>1</v>
      </c>
      <c r="F214" t="str">
        <f>VLOOKUP(D214, Lookup_Table!$A$2:$B$10, 2, FALSE)</f>
        <v>Dr. Rao</v>
      </c>
      <c r="G214" t="str">
        <f t="shared" si="3"/>
        <v>Adult</v>
      </c>
    </row>
    <row r="215" spans="1:7" x14ac:dyDescent="0.3">
      <c r="A215" t="s">
        <v>226</v>
      </c>
      <c r="B215" t="s">
        <v>705</v>
      </c>
      <c r="C215">
        <v>69</v>
      </c>
      <c r="D215" t="s">
        <v>909</v>
      </c>
      <c r="E215">
        <v>1</v>
      </c>
      <c r="F215" t="str">
        <f>VLOOKUP(D215, Lookup_Table!$A$2:$B$10, 2, FALSE)</f>
        <v>Dr. Tiwari</v>
      </c>
      <c r="G215" t="str">
        <f t="shared" si="3"/>
        <v>Senior</v>
      </c>
    </row>
    <row r="216" spans="1:7" x14ac:dyDescent="0.3">
      <c r="A216" t="s">
        <v>227</v>
      </c>
      <c r="B216" t="s">
        <v>706</v>
      </c>
      <c r="C216">
        <v>45</v>
      </c>
      <c r="D216" t="s">
        <v>905</v>
      </c>
      <c r="E216">
        <v>8</v>
      </c>
      <c r="F216" t="str">
        <f>VLOOKUP(D216, Lookup_Table!$A$2:$B$10, 2, FALSE)</f>
        <v>Dr. Gupta</v>
      </c>
      <c r="G216" t="str">
        <f t="shared" si="3"/>
        <v>Adult</v>
      </c>
    </row>
    <row r="217" spans="1:7" x14ac:dyDescent="0.3">
      <c r="A217" t="s">
        <v>228</v>
      </c>
      <c r="B217" t="s">
        <v>707</v>
      </c>
      <c r="C217">
        <v>77</v>
      </c>
      <c r="D217" t="s">
        <v>902</v>
      </c>
      <c r="E217">
        <v>5</v>
      </c>
      <c r="F217" t="str">
        <f>VLOOKUP(D217, Lookup_Table!$A$2:$B$10, 2, FALSE)</f>
        <v>Dr. Sharma</v>
      </c>
      <c r="G217" t="str">
        <f t="shared" si="3"/>
        <v>Senior</v>
      </c>
    </row>
    <row r="218" spans="1:7" x14ac:dyDescent="0.3">
      <c r="A218" t="s">
        <v>229</v>
      </c>
      <c r="B218" t="s">
        <v>708</v>
      </c>
      <c r="C218">
        <v>29</v>
      </c>
      <c r="D218" t="s">
        <v>903</v>
      </c>
      <c r="E218">
        <v>1</v>
      </c>
      <c r="F218" t="str">
        <f>VLOOKUP(D218, Lookup_Table!$A$2:$B$10, 2, FALSE)</f>
        <v>Dr. Mishra</v>
      </c>
      <c r="G218" t="str">
        <f t="shared" si="3"/>
        <v>Adult</v>
      </c>
    </row>
    <row r="219" spans="1:7" x14ac:dyDescent="0.3">
      <c r="A219" t="s">
        <v>230</v>
      </c>
      <c r="B219" t="s">
        <v>624</v>
      </c>
      <c r="C219">
        <v>79</v>
      </c>
      <c r="D219" t="s">
        <v>905</v>
      </c>
      <c r="E219">
        <v>8</v>
      </c>
      <c r="F219" t="str">
        <f>VLOOKUP(D219, Lookup_Table!$A$2:$B$10, 2, FALSE)</f>
        <v>Dr. Gupta</v>
      </c>
      <c r="G219" t="str">
        <f t="shared" si="3"/>
        <v>Senior</v>
      </c>
    </row>
    <row r="220" spans="1:7" x14ac:dyDescent="0.3">
      <c r="A220" t="s">
        <v>231</v>
      </c>
      <c r="B220" t="s">
        <v>709</v>
      </c>
      <c r="C220">
        <v>67</v>
      </c>
      <c r="D220" t="s">
        <v>909</v>
      </c>
      <c r="E220">
        <v>1</v>
      </c>
      <c r="F220" t="str">
        <f>VLOOKUP(D220, Lookup_Table!$A$2:$B$10, 2, FALSE)</f>
        <v>Dr. Tiwari</v>
      </c>
      <c r="G220" t="str">
        <f t="shared" si="3"/>
        <v>Senior</v>
      </c>
    </row>
    <row r="221" spans="1:7" x14ac:dyDescent="0.3">
      <c r="A221" t="s">
        <v>232</v>
      </c>
      <c r="B221" t="s">
        <v>710</v>
      </c>
      <c r="C221">
        <v>39</v>
      </c>
      <c r="D221" t="s">
        <v>906</v>
      </c>
      <c r="E221">
        <v>1</v>
      </c>
      <c r="F221" t="str">
        <f>VLOOKUP(D221, Lookup_Table!$A$2:$B$10, 2, FALSE)</f>
        <v>Dr. Menon</v>
      </c>
      <c r="G221" t="str">
        <f t="shared" si="3"/>
        <v>Adult</v>
      </c>
    </row>
    <row r="222" spans="1:7" x14ac:dyDescent="0.3">
      <c r="A222" t="s">
        <v>233</v>
      </c>
      <c r="B222" t="s">
        <v>711</v>
      </c>
      <c r="C222">
        <v>67</v>
      </c>
      <c r="D222" t="s">
        <v>905</v>
      </c>
      <c r="E222">
        <v>9</v>
      </c>
      <c r="F222" t="str">
        <f>VLOOKUP(D222, Lookup_Table!$A$2:$B$10, 2, FALSE)</f>
        <v>Dr. Gupta</v>
      </c>
      <c r="G222" t="str">
        <f t="shared" si="3"/>
        <v>Senior</v>
      </c>
    </row>
    <row r="223" spans="1:7" x14ac:dyDescent="0.3">
      <c r="A223" t="s">
        <v>234</v>
      </c>
      <c r="B223" t="s">
        <v>712</v>
      </c>
      <c r="C223">
        <v>16</v>
      </c>
      <c r="D223" t="s">
        <v>901</v>
      </c>
      <c r="E223">
        <v>3</v>
      </c>
      <c r="F223" t="str">
        <f>VLOOKUP(D223, Lookup_Table!$A$2:$B$10, 2, FALSE)</f>
        <v>Dr. Kapoor</v>
      </c>
      <c r="G223" t="str">
        <f t="shared" si="3"/>
        <v>Child</v>
      </c>
    </row>
    <row r="224" spans="1:7" x14ac:dyDescent="0.3">
      <c r="A224" t="s">
        <v>235</v>
      </c>
      <c r="B224" t="s">
        <v>713</v>
      </c>
      <c r="C224">
        <v>27</v>
      </c>
      <c r="D224" t="s">
        <v>905</v>
      </c>
      <c r="E224">
        <v>13</v>
      </c>
      <c r="F224" t="str">
        <f>VLOOKUP(D224, Lookup_Table!$A$2:$B$10, 2, FALSE)</f>
        <v>Dr. Gupta</v>
      </c>
      <c r="G224" t="str">
        <f t="shared" si="3"/>
        <v>Adult</v>
      </c>
    </row>
    <row r="225" spans="1:7" x14ac:dyDescent="0.3">
      <c r="A225" t="s">
        <v>236</v>
      </c>
      <c r="B225" t="s">
        <v>714</v>
      </c>
      <c r="C225">
        <v>32</v>
      </c>
      <c r="D225" t="s">
        <v>908</v>
      </c>
      <c r="E225">
        <v>6</v>
      </c>
      <c r="F225" t="str">
        <f>VLOOKUP(D225, Lookup_Table!$A$2:$B$10, 2, FALSE)</f>
        <v>Dr. Rao</v>
      </c>
      <c r="G225" t="str">
        <f t="shared" si="3"/>
        <v>Adult</v>
      </c>
    </row>
    <row r="226" spans="1:7" x14ac:dyDescent="0.3">
      <c r="A226" t="s">
        <v>237</v>
      </c>
      <c r="B226" t="s">
        <v>715</v>
      </c>
      <c r="C226">
        <v>38</v>
      </c>
      <c r="D226" t="s">
        <v>904</v>
      </c>
      <c r="E226">
        <v>2</v>
      </c>
      <c r="F226" t="str">
        <f>VLOOKUP(D226, Lookup_Table!$A$2:$B$10, 2, FALSE)</f>
        <v>Dr. Deshmukh</v>
      </c>
      <c r="G226" t="str">
        <f t="shared" si="3"/>
        <v>Adult</v>
      </c>
    </row>
    <row r="227" spans="1:7" x14ac:dyDescent="0.3">
      <c r="A227" t="s">
        <v>238</v>
      </c>
      <c r="B227" t="s">
        <v>716</v>
      </c>
      <c r="C227">
        <v>70</v>
      </c>
      <c r="D227" t="s">
        <v>907</v>
      </c>
      <c r="E227">
        <v>1</v>
      </c>
      <c r="F227" t="str">
        <f>VLOOKUP(D227, Lookup_Table!$A$2:$B$10, 2, FALSE)</f>
        <v>Dr. Chatterjee</v>
      </c>
      <c r="G227" t="str">
        <f t="shared" si="3"/>
        <v>Senior</v>
      </c>
    </row>
    <row r="228" spans="1:7" x14ac:dyDescent="0.3">
      <c r="A228" t="s">
        <v>239</v>
      </c>
      <c r="B228" t="s">
        <v>530</v>
      </c>
      <c r="C228">
        <v>37</v>
      </c>
      <c r="D228" t="s">
        <v>904</v>
      </c>
      <c r="E228">
        <v>1</v>
      </c>
      <c r="F228" t="str">
        <f>VLOOKUP(D228, Lookup_Table!$A$2:$B$10, 2, FALSE)</f>
        <v>Dr. Deshmukh</v>
      </c>
      <c r="G228" t="str">
        <f t="shared" si="3"/>
        <v>Adult</v>
      </c>
    </row>
    <row r="229" spans="1:7" x14ac:dyDescent="0.3">
      <c r="A229" t="s">
        <v>240</v>
      </c>
      <c r="B229" t="s">
        <v>717</v>
      </c>
      <c r="C229">
        <v>77</v>
      </c>
      <c r="D229" t="s">
        <v>907</v>
      </c>
      <c r="E229">
        <v>3</v>
      </c>
      <c r="F229" t="str">
        <f>VLOOKUP(D229, Lookup_Table!$A$2:$B$10, 2, FALSE)</f>
        <v>Dr. Chatterjee</v>
      </c>
      <c r="G229" t="str">
        <f t="shared" si="3"/>
        <v>Senior</v>
      </c>
    </row>
    <row r="230" spans="1:7" x14ac:dyDescent="0.3">
      <c r="A230" t="s">
        <v>241</v>
      </c>
      <c r="B230" t="s">
        <v>718</v>
      </c>
      <c r="C230">
        <v>51</v>
      </c>
      <c r="D230" t="s">
        <v>903</v>
      </c>
      <c r="E230">
        <v>1</v>
      </c>
      <c r="F230" t="str">
        <f>VLOOKUP(D230, Lookup_Table!$A$2:$B$10, 2, FALSE)</f>
        <v>Dr. Mishra</v>
      </c>
      <c r="G230" t="str">
        <f t="shared" si="3"/>
        <v>Adult</v>
      </c>
    </row>
    <row r="231" spans="1:7" x14ac:dyDescent="0.3">
      <c r="A231" t="s">
        <v>242</v>
      </c>
      <c r="B231" t="s">
        <v>719</v>
      </c>
      <c r="C231">
        <v>47</v>
      </c>
      <c r="D231" t="s">
        <v>903</v>
      </c>
      <c r="E231">
        <v>14</v>
      </c>
      <c r="F231" t="str">
        <f>VLOOKUP(D231, Lookup_Table!$A$2:$B$10, 2, FALSE)</f>
        <v>Dr. Mishra</v>
      </c>
      <c r="G231" t="str">
        <f t="shared" si="3"/>
        <v>Adult</v>
      </c>
    </row>
    <row r="232" spans="1:7" x14ac:dyDescent="0.3">
      <c r="A232" t="s">
        <v>243</v>
      </c>
      <c r="B232" t="s">
        <v>720</v>
      </c>
      <c r="C232">
        <v>75</v>
      </c>
      <c r="D232" t="s">
        <v>902</v>
      </c>
      <c r="E232">
        <v>2</v>
      </c>
      <c r="F232" t="str">
        <f>VLOOKUP(D232, Lookup_Table!$A$2:$B$10, 2, FALSE)</f>
        <v>Dr. Sharma</v>
      </c>
      <c r="G232" t="str">
        <f t="shared" si="3"/>
        <v>Senior</v>
      </c>
    </row>
    <row r="233" spans="1:7" x14ac:dyDescent="0.3">
      <c r="A233" t="s">
        <v>244</v>
      </c>
      <c r="B233" t="s">
        <v>620</v>
      </c>
      <c r="C233">
        <v>78</v>
      </c>
      <c r="D233" t="s">
        <v>902</v>
      </c>
      <c r="E233">
        <v>11</v>
      </c>
      <c r="F233" t="str">
        <f>VLOOKUP(D233, Lookup_Table!$A$2:$B$10, 2, FALSE)</f>
        <v>Dr. Sharma</v>
      </c>
      <c r="G233" t="str">
        <f t="shared" si="3"/>
        <v>Senior</v>
      </c>
    </row>
    <row r="234" spans="1:7" x14ac:dyDescent="0.3">
      <c r="A234" t="s">
        <v>245</v>
      </c>
      <c r="B234" t="s">
        <v>721</v>
      </c>
      <c r="C234">
        <v>53</v>
      </c>
      <c r="D234" t="s">
        <v>902</v>
      </c>
      <c r="E234">
        <v>4</v>
      </c>
      <c r="F234" t="str">
        <f>VLOOKUP(D234, Lookup_Table!$A$2:$B$10, 2, FALSE)</f>
        <v>Dr. Sharma</v>
      </c>
      <c r="G234" t="str">
        <f t="shared" si="3"/>
        <v>Adult</v>
      </c>
    </row>
    <row r="235" spans="1:7" x14ac:dyDescent="0.3">
      <c r="A235" t="s">
        <v>246</v>
      </c>
      <c r="B235" t="s">
        <v>722</v>
      </c>
      <c r="C235">
        <v>35</v>
      </c>
      <c r="D235" t="s">
        <v>904</v>
      </c>
      <c r="E235">
        <v>4</v>
      </c>
      <c r="F235" t="str">
        <f>VLOOKUP(D235, Lookup_Table!$A$2:$B$10, 2, FALSE)</f>
        <v>Dr. Deshmukh</v>
      </c>
      <c r="G235" t="str">
        <f t="shared" si="3"/>
        <v>Adult</v>
      </c>
    </row>
    <row r="236" spans="1:7" x14ac:dyDescent="0.3">
      <c r="A236" t="s">
        <v>247</v>
      </c>
      <c r="B236" t="s">
        <v>663</v>
      </c>
      <c r="C236">
        <v>80</v>
      </c>
      <c r="D236" t="s">
        <v>906</v>
      </c>
      <c r="E236">
        <v>3</v>
      </c>
      <c r="F236" t="str">
        <f>VLOOKUP(D236, Lookup_Table!$A$2:$B$10, 2, FALSE)</f>
        <v>Dr. Menon</v>
      </c>
      <c r="G236" t="str">
        <f t="shared" si="3"/>
        <v>Senior</v>
      </c>
    </row>
    <row r="237" spans="1:7" x14ac:dyDescent="0.3">
      <c r="A237" t="s">
        <v>248</v>
      </c>
      <c r="B237" t="s">
        <v>575</v>
      </c>
      <c r="C237">
        <v>68</v>
      </c>
      <c r="D237" t="s">
        <v>905</v>
      </c>
      <c r="E237">
        <v>6</v>
      </c>
      <c r="F237" t="str">
        <f>VLOOKUP(D237, Lookup_Table!$A$2:$B$10, 2, FALSE)</f>
        <v>Dr. Gupta</v>
      </c>
      <c r="G237" t="str">
        <f t="shared" si="3"/>
        <v>Senior</v>
      </c>
    </row>
    <row r="238" spans="1:7" x14ac:dyDescent="0.3">
      <c r="A238" t="s">
        <v>249</v>
      </c>
      <c r="B238" t="s">
        <v>723</v>
      </c>
      <c r="C238">
        <v>50</v>
      </c>
      <c r="D238" t="s">
        <v>907</v>
      </c>
      <c r="E238">
        <v>6</v>
      </c>
      <c r="F238" t="str">
        <f>VLOOKUP(D238, Lookup_Table!$A$2:$B$10, 2, FALSE)</f>
        <v>Dr. Chatterjee</v>
      </c>
      <c r="G238" t="str">
        <f t="shared" si="3"/>
        <v>Adult</v>
      </c>
    </row>
    <row r="239" spans="1:7" x14ac:dyDescent="0.3">
      <c r="A239" t="s">
        <v>250</v>
      </c>
      <c r="B239" t="s">
        <v>546</v>
      </c>
      <c r="C239">
        <v>44</v>
      </c>
      <c r="D239" t="s">
        <v>905</v>
      </c>
      <c r="E239">
        <v>1</v>
      </c>
      <c r="F239" t="str">
        <f>VLOOKUP(D239, Lookup_Table!$A$2:$B$10, 2, FALSE)</f>
        <v>Dr. Gupta</v>
      </c>
      <c r="G239" t="str">
        <f t="shared" si="3"/>
        <v>Adult</v>
      </c>
    </row>
    <row r="240" spans="1:7" x14ac:dyDescent="0.3">
      <c r="A240" t="s">
        <v>251</v>
      </c>
      <c r="B240" t="s">
        <v>724</v>
      </c>
      <c r="C240">
        <v>2</v>
      </c>
      <c r="D240" t="s">
        <v>901</v>
      </c>
      <c r="E240">
        <v>3</v>
      </c>
      <c r="F240" t="str">
        <f>VLOOKUP(D240, Lookup_Table!$A$2:$B$10, 2, FALSE)</f>
        <v>Dr. Kapoor</v>
      </c>
      <c r="G240" t="str">
        <f t="shared" si="3"/>
        <v>Child</v>
      </c>
    </row>
    <row r="241" spans="1:7" x14ac:dyDescent="0.3">
      <c r="A241" t="s">
        <v>252</v>
      </c>
      <c r="B241" t="s">
        <v>725</v>
      </c>
      <c r="C241">
        <v>30</v>
      </c>
      <c r="D241" t="s">
        <v>909</v>
      </c>
      <c r="E241">
        <v>1</v>
      </c>
      <c r="F241" t="str">
        <f>VLOOKUP(D241, Lookup_Table!$A$2:$B$10, 2, FALSE)</f>
        <v>Dr. Tiwari</v>
      </c>
      <c r="G241" t="str">
        <f t="shared" si="3"/>
        <v>Adult</v>
      </c>
    </row>
    <row r="242" spans="1:7" x14ac:dyDescent="0.3">
      <c r="A242" t="s">
        <v>253</v>
      </c>
      <c r="B242" t="s">
        <v>726</v>
      </c>
      <c r="C242">
        <v>26</v>
      </c>
      <c r="D242" t="s">
        <v>903</v>
      </c>
      <c r="E242">
        <v>1</v>
      </c>
      <c r="F242" t="str">
        <f>VLOOKUP(D242, Lookup_Table!$A$2:$B$10, 2, FALSE)</f>
        <v>Dr. Mishra</v>
      </c>
      <c r="G242" t="str">
        <f t="shared" si="3"/>
        <v>Adult</v>
      </c>
    </row>
    <row r="243" spans="1:7" x14ac:dyDescent="0.3">
      <c r="A243" t="s">
        <v>254</v>
      </c>
      <c r="B243" t="s">
        <v>727</v>
      </c>
      <c r="C243">
        <v>73</v>
      </c>
      <c r="D243" t="s">
        <v>909</v>
      </c>
      <c r="E243">
        <v>2</v>
      </c>
      <c r="F243" t="str">
        <f>VLOOKUP(D243, Lookup_Table!$A$2:$B$10, 2, FALSE)</f>
        <v>Dr. Tiwari</v>
      </c>
      <c r="G243" t="str">
        <f t="shared" si="3"/>
        <v>Senior</v>
      </c>
    </row>
    <row r="244" spans="1:7" x14ac:dyDescent="0.3">
      <c r="A244" t="s">
        <v>255</v>
      </c>
      <c r="B244" t="s">
        <v>728</v>
      </c>
      <c r="C244">
        <v>49</v>
      </c>
      <c r="D244" t="s">
        <v>909</v>
      </c>
      <c r="E244">
        <v>1</v>
      </c>
      <c r="F244" t="str">
        <f>VLOOKUP(D244, Lookup_Table!$A$2:$B$10, 2, FALSE)</f>
        <v>Dr. Tiwari</v>
      </c>
      <c r="G244" t="str">
        <f t="shared" si="3"/>
        <v>Adult</v>
      </c>
    </row>
    <row r="245" spans="1:7" x14ac:dyDescent="0.3">
      <c r="A245" t="s">
        <v>256</v>
      </c>
      <c r="B245" t="s">
        <v>652</v>
      </c>
      <c r="C245">
        <v>17</v>
      </c>
      <c r="D245" t="s">
        <v>901</v>
      </c>
      <c r="E245">
        <v>8</v>
      </c>
      <c r="F245" t="str">
        <f>VLOOKUP(D245, Lookup_Table!$A$2:$B$10, 2, FALSE)</f>
        <v>Dr. Kapoor</v>
      </c>
      <c r="G245" t="str">
        <f t="shared" si="3"/>
        <v>Child</v>
      </c>
    </row>
    <row r="246" spans="1:7" x14ac:dyDescent="0.3">
      <c r="A246" t="s">
        <v>257</v>
      </c>
      <c r="B246" t="s">
        <v>729</v>
      </c>
      <c r="C246">
        <v>69</v>
      </c>
      <c r="D246" t="s">
        <v>908</v>
      </c>
      <c r="E246">
        <v>18</v>
      </c>
      <c r="F246" t="str">
        <f>VLOOKUP(D246, Lookup_Table!$A$2:$B$10, 2, FALSE)</f>
        <v>Dr. Rao</v>
      </c>
      <c r="G246" t="str">
        <f t="shared" si="3"/>
        <v>Senior</v>
      </c>
    </row>
    <row r="247" spans="1:7" x14ac:dyDescent="0.3">
      <c r="A247" t="s">
        <v>258</v>
      </c>
      <c r="B247" t="s">
        <v>730</v>
      </c>
      <c r="C247">
        <v>17</v>
      </c>
      <c r="D247" t="s">
        <v>901</v>
      </c>
      <c r="E247">
        <v>7</v>
      </c>
      <c r="F247" t="str">
        <f>VLOOKUP(D247, Lookup_Table!$A$2:$B$10, 2, FALSE)</f>
        <v>Dr. Kapoor</v>
      </c>
      <c r="G247" t="str">
        <f t="shared" si="3"/>
        <v>Child</v>
      </c>
    </row>
    <row r="248" spans="1:7" x14ac:dyDescent="0.3">
      <c r="A248" t="s">
        <v>259</v>
      </c>
      <c r="B248" t="s">
        <v>695</v>
      </c>
      <c r="C248">
        <v>33</v>
      </c>
      <c r="D248" t="s">
        <v>907</v>
      </c>
      <c r="E248">
        <v>4</v>
      </c>
      <c r="F248" t="str">
        <f>VLOOKUP(D248, Lookup_Table!$A$2:$B$10, 2, FALSE)</f>
        <v>Dr. Chatterjee</v>
      </c>
      <c r="G248" t="str">
        <f t="shared" si="3"/>
        <v>Adult</v>
      </c>
    </row>
    <row r="249" spans="1:7" x14ac:dyDescent="0.3">
      <c r="A249" t="s">
        <v>260</v>
      </c>
      <c r="B249" t="s">
        <v>731</v>
      </c>
      <c r="C249">
        <v>40</v>
      </c>
      <c r="D249" t="s">
        <v>908</v>
      </c>
      <c r="E249">
        <v>1</v>
      </c>
      <c r="F249" t="str">
        <f>VLOOKUP(D249, Lookup_Table!$A$2:$B$10, 2, FALSE)</f>
        <v>Dr. Rao</v>
      </c>
      <c r="G249" t="str">
        <f t="shared" si="3"/>
        <v>Adult</v>
      </c>
    </row>
    <row r="250" spans="1:7" x14ac:dyDescent="0.3">
      <c r="A250" t="s">
        <v>261</v>
      </c>
      <c r="B250" t="s">
        <v>732</v>
      </c>
      <c r="C250">
        <v>32</v>
      </c>
      <c r="D250" t="s">
        <v>908</v>
      </c>
      <c r="E250">
        <v>15</v>
      </c>
      <c r="F250" t="str">
        <f>VLOOKUP(D250, Lookup_Table!$A$2:$B$10, 2, FALSE)</f>
        <v>Dr. Rao</v>
      </c>
      <c r="G250" t="str">
        <f t="shared" si="3"/>
        <v>Adult</v>
      </c>
    </row>
    <row r="251" spans="1:7" x14ac:dyDescent="0.3">
      <c r="A251" t="s">
        <v>262</v>
      </c>
      <c r="B251" t="s">
        <v>733</v>
      </c>
      <c r="C251">
        <v>59</v>
      </c>
      <c r="D251" t="s">
        <v>905</v>
      </c>
      <c r="E251">
        <v>3</v>
      </c>
      <c r="F251" t="str">
        <f>VLOOKUP(D251, Lookup_Table!$A$2:$B$10, 2, FALSE)</f>
        <v>Dr. Gupta</v>
      </c>
      <c r="G251" t="str">
        <f t="shared" si="3"/>
        <v>Adult</v>
      </c>
    </row>
    <row r="252" spans="1:7" x14ac:dyDescent="0.3">
      <c r="A252" t="s">
        <v>263</v>
      </c>
      <c r="B252" t="s">
        <v>734</v>
      </c>
      <c r="C252">
        <v>75</v>
      </c>
      <c r="D252" t="s">
        <v>908</v>
      </c>
      <c r="E252">
        <v>20</v>
      </c>
      <c r="F252" t="str">
        <f>VLOOKUP(D252, Lookup_Table!$A$2:$B$10, 2, FALSE)</f>
        <v>Dr. Rao</v>
      </c>
      <c r="G252" t="str">
        <f t="shared" si="3"/>
        <v>Senior</v>
      </c>
    </row>
    <row r="253" spans="1:7" x14ac:dyDescent="0.3">
      <c r="A253" t="s">
        <v>264</v>
      </c>
      <c r="B253" t="s">
        <v>659</v>
      </c>
      <c r="C253">
        <v>71</v>
      </c>
      <c r="D253" t="s">
        <v>907</v>
      </c>
      <c r="E253">
        <v>33</v>
      </c>
      <c r="F253" t="str">
        <f>VLOOKUP(D253, Lookup_Table!$A$2:$B$10, 2, FALSE)</f>
        <v>Dr. Chatterjee</v>
      </c>
      <c r="G253" t="str">
        <f t="shared" si="3"/>
        <v>Senior</v>
      </c>
    </row>
    <row r="254" spans="1:7" x14ac:dyDescent="0.3">
      <c r="A254" t="s">
        <v>265</v>
      </c>
      <c r="B254" t="s">
        <v>599</v>
      </c>
      <c r="C254">
        <v>44</v>
      </c>
      <c r="D254" t="s">
        <v>909</v>
      </c>
      <c r="E254">
        <v>3</v>
      </c>
      <c r="F254" t="str">
        <f>VLOOKUP(D254, Lookup_Table!$A$2:$B$10, 2, FALSE)</f>
        <v>Dr. Tiwari</v>
      </c>
      <c r="G254" t="str">
        <f t="shared" si="3"/>
        <v>Adult</v>
      </c>
    </row>
    <row r="255" spans="1:7" x14ac:dyDescent="0.3">
      <c r="A255" t="s">
        <v>266</v>
      </c>
      <c r="B255" t="s">
        <v>735</v>
      </c>
      <c r="C255">
        <v>29</v>
      </c>
      <c r="D255" t="s">
        <v>904</v>
      </c>
      <c r="E255">
        <v>1</v>
      </c>
      <c r="F255" t="str">
        <f>VLOOKUP(D255, Lookup_Table!$A$2:$B$10, 2, FALSE)</f>
        <v>Dr. Deshmukh</v>
      </c>
      <c r="G255" t="str">
        <f t="shared" si="3"/>
        <v>Adult</v>
      </c>
    </row>
    <row r="256" spans="1:7" x14ac:dyDescent="0.3">
      <c r="A256" t="s">
        <v>267</v>
      </c>
      <c r="B256" t="s">
        <v>736</v>
      </c>
      <c r="C256">
        <v>39</v>
      </c>
      <c r="D256" t="s">
        <v>907</v>
      </c>
      <c r="E256">
        <v>4</v>
      </c>
      <c r="F256" t="str">
        <f>VLOOKUP(D256, Lookup_Table!$A$2:$B$10, 2, FALSE)</f>
        <v>Dr. Chatterjee</v>
      </c>
      <c r="G256" t="str">
        <f t="shared" si="3"/>
        <v>Adult</v>
      </c>
    </row>
    <row r="257" spans="1:7" x14ac:dyDescent="0.3">
      <c r="A257" t="s">
        <v>268</v>
      </c>
      <c r="B257" t="s">
        <v>737</v>
      </c>
      <c r="C257">
        <v>39</v>
      </c>
      <c r="D257" t="s">
        <v>909</v>
      </c>
      <c r="E257">
        <v>3</v>
      </c>
      <c r="F257" t="str">
        <f>VLOOKUP(D257, Lookup_Table!$A$2:$B$10, 2, FALSE)</f>
        <v>Dr. Tiwari</v>
      </c>
      <c r="G257" t="str">
        <f t="shared" si="3"/>
        <v>Adult</v>
      </c>
    </row>
    <row r="258" spans="1:7" x14ac:dyDescent="0.3">
      <c r="A258" t="s">
        <v>269</v>
      </c>
      <c r="B258" t="s">
        <v>738</v>
      </c>
      <c r="C258">
        <v>12</v>
      </c>
      <c r="D258" t="s">
        <v>901</v>
      </c>
      <c r="E258">
        <v>1</v>
      </c>
      <c r="F258" t="str">
        <f>VLOOKUP(D258, Lookup_Table!$A$2:$B$10, 2, FALSE)</f>
        <v>Dr. Kapoor</v>
      </c>
      <c r="G258" t="str">
        <f t="shared" si="3"/>
        <v>Child</v>
      </c>
    </row>
    <row r="259" spans="1:7" x14ac:dyDescent="0.3">
      <c r="A259" t="s">
        <v>270</v>
      </c>
      <c r="B259" t="s">
        <v>739</v>
      </c>
      <c r="C259">
        <v>6</v>
      </c>
      <c r="D259" t="s">
        <v>901</v>
      </c>
      <c r="E259">
        <v>1</v>
      </c>
      <c r="F259" t="str">
        <f>VLOOKUP(D259, Lookup_Table!$A$2:$B$10, 2, FALSE)</f>
        <v>Dr. Kapoor</v>
      </c>
      <c r="G259" t="str">
        <f t="shared" si="3"/>
        <v>Child</v>
      </c>
    </row>
    <row r="260" spans="1:7" x14ac:dyDescent="0.3">
      <c r="A260" t="s">
        <v>271</v>
      </c>
      <c r="B260" t="s">
        <v>740</v>
      </c>
      <c r="C260">
        <v>41</v>
      </c>
      <c r="D260" t="s">
        <v>903</v>
      </c>
      <c r="E260">
        <v>3</v>
      </c>
      <c r="F260" t="str">
        <f>VLOOKUP(D260, Lookup_Table!$A$2:$B$10, 2, FALSE)</f>
        <v>Dr. Mishra</v>
      </c>
      <c r="G260" t="str">
        <f t="shared" si="3"/>
        <v>Adult</v>
      </c>
    </row>
    <row r="261" spans="1:7" x14ac:dyDescent="0.3">
      <c r="A261" t="s">
        <v>272</v>
      </c>
      <c r="B261" t="s">
        <v>741</v>
      </c>
      <c r="C261">
        <v>72</v>
      </c>
      <c r="D261" t="s">
        <v>902</v>
      </c>
      <c r="E261">
        <v>13</v>
      </c>
      <c r="F261" t="str">
        <f>VLOOKUP(D261, Lookup_Table!$A$2:$B$10, 2, FALSE)</f>
        <v>Dr. Sharma</v>
      </c>
      <c r="G261" t="str">
        <f t="shared" ref="G261:G324" si="4">IF(C261&lt;18,"Child", IF(C261&lt;60,"Adult","Senior"))</f>
        <v>Senior</v>
      </c>
    </row>
    <row r="262" spans="1:7" x14ac:dyDescent="0.3">
      <c r="A262" t="s">
        <v>273</v>
      </c>
      <c r="B262" t="s">
        <v>742</v>
      </c>
      <c r="C262">
        <v>2</v>
      </c>
      <c r="D262" t="s">
        <v>901</v>
      </c>
      <c r="E262">
        <v>3</v>
      </c>
      <c r="F262" t="str">
        <f>VLOOKUP(D262, Lookup_Table!$A$2:$B$10, 2, FALSE)</f>
        <v>Dr. Kapoor</v>
      </c>
      <c r="G262" t="str">
        <f t="shared" si="4"/>
        <v>Child</v>
      </c>
    </row>
    <row r="263" spans="1:7" x14ac:dyDescent="0.3">
      <c r="A263" t="s">
        <v>274</v>
      </c>
      <c r="B263" t="s">
        <v>660</v>
      </c>
      <c r="C263">
        <v>78</v>
      </c>
      <c r="D263" t="s">
        <v>908</v>
      </c>
      <c r="E263">
        <v>5</v>
      </c>
      <c r="F263" t="str">
        <f>VLOOKUP(D263, Lookup_Table!$A$2:$B$10, 2, FALSE)</f>
        <v>Dr. Rao</v>
      </c>
      <c r="G263" t="str">
        <f t="shared" si="4"/>
        <v>Senior</v>
      </c>
    </row>
    <row r="264" spans="1:7" x14ac:dyDescent="0.3">
      <c r="A264" t="s">
        <v>275</v>
      </c>
      <c r="B264" t="s">
        <v>743</v>
      </c>
      <c r="C264">
        <v>60</v>
      </c>
      <c r="D264" t="s">
        <v>907</v>
      </c>
      <c r="E264">
        <v>1</v>
      </c>
      <c r="F264" t="str">
        <f>VLOOKUP(D264, Lookup_Table!$A$2:$B$10, 2, FALSE)</f>
        <v>Dr. Chatterjee</v>
      </c>
      <c r="G264" t="str">
        <f t="shared" si="4"/>
        <v>Senior</v>
      </c>
    </row>
    <row r="265" spans="1:7" x14ac:dyDescent="0.3">
      <c r="A265" t="s">
        <v>276</v>
      </c>
      <c r="B265" t="s">
        <v>744</v>
      </c>
      <c r="C265">
        <v>68</v>
      </c>
      <c r="D265" t="s">
        <v>908</v>
      </c>
      <c r="E265">
        <v>5</v>
      </c>
      <c r="F265" t="str">
        <f>VLOOKUP(D265, Lookup_Table!$A$2:$B$10, 2, FALSE)</f>
        <v>Dr. Rao</v>
      </c>
      <c r="G265" t="str">
        <f t="shared" si="4"/>
        <v>Senior</v>
      </c>
    </row>
    <row r="266" spans="1:7" x14ac:dyDescent="0.3">
      <c r="A266" t="s">
        <v>277</v>
      </c>
      <c r="B266" t="s">
        <v>745</v>
      </c>
      <c r="C266">
        <v>37</v>
      </c>
      <c r="D266" t="s">
        <v>904</v>
      </c>
      <c r="E266">
        <v>13</v>
      </c>
      <c r="F266" t="str">
        <f>VLOOKUP(D266, Lookup_Table!$A$2:$B$10, 2, FALSE)</f>
        <v>Dr. Deshmukh</v>
      </c>
      <c r="G266" t="str">
        <f t="shared" si="4"/>
        <v>Adult</v>
      </c>
    </row>
    <row r="267" spans="1:7" x14ac:dyDescent="0.3">
      <c r="A267" t="s">
        <v>278</v>
      </c>
      <c r="B267" t="s">
        <v>594</v>
      </c>
      <c r="C267">
        <v>75</v>
      </c>
      <c r="D267" t="s">
        <v>907</v>
      </c>
      <c r="E267">
        <v>1</v>
      </c>
      <c r="F267" t="str">
        <f>VLOOKUP(D267, Lookup_Table!$A$2:$B$10, 2, FALSE)</f>
        <v>Dr. Chatterjee</v>
      </c>
      <c r="G267" t="str">
        <f t="shared" si="4"/>
        <v>Senior</v>
      </c>
    </row>
    <row r="268" spans="1:7" x14ac:dyDescent="0.3">
      <c r="A268" t="s">
        <v>279</v>
      </c>
      <c r="B268" t="s">
        <v>559</v>
      </c>
      <c r="C268">
        <v>52</v>
      </c>
      <c r="D268" t="s">
        <v>903</v>
      </c>
      <c r="E268">
        <v>2</v>
      </c>
      <c r="F268" t="str">
        <f>VLOOKUP(D268, Lookup_Table!$A$2:$B$10, 2, FALSE)</f>
        <v>Dr. Mishra</v>
      </c>
      <c r="G268" t="str">
        <f t="shared" si="4"/>
        <v>Adult</v>
      </c>
    </row>
    <row r="269" spans="1:7" x14ac:dyDescent="0.3">
      <c r="A269" t="s">
        <v>280</v>
      </c>
      <c r="B269" t="s">
        <v>746</v>
      </c>
      <c r="C269">
        <v>38</v>
      </c>
      <c r="D269" t="s">
        <v>902</v>
      </c>
      <c r="E269">
        <v>10</v>
      </c>
      <c r="F269" t="str">
        <f>VLOOKUP(D269, Lookup_Table!$A$2:$B$10, 2, FALSE)</f>
        <v>Dr. Sharma</v>
      </c>
      <c r="G269" t="str">
        <f t="shared" si="4"/>
        <v>Adult</v>
      </c>
    </row>
    <row r="270" spans="1:7" x14ac:dyDescent="0.3">
      <c r="A270" t="s">
        <v>281</v>
      </c>
      <c r="B270" t="s">
        <v>747</v>
      </c>
      <c r="C270">
        <v>1</v>
      </c>
      <c r="D270" t="s">
        <v>901</v>
      </c>
      <c r="E270">
        <v>4</v>
      </c>
      <c r="F270" t="str">
        <f>VLOOKUP(D270, Lookup_Table!$A$2:$B$10, 2, FALSE)</f>
        <v>Dr. Kapoor</v>
      </c>
      <c r="G270" t="str">
        <f t="shared" si="4"/>
        <v>Child</v>
      </c>
    </row>
    <row r="271" spans="1:7" x14ac:dyDescent="0.3">
      <c r="A271" t="s">
        <v>282</v>
      </c>
      <c r="B271" t="s">
        <v>748</v>
      </c>
      <c r="C271">
        <v>62</v>
      </c>
      <c r="D271" t="s">
        <v>907</v>
      </c>
      <c r="E271">
        <v>11</v>
      </c>
      <c r="F271" t="str">
        <f>VLOOKUP(D271, Lookup_Table!$A$2:$B$10, 2, FALSE)</f>
        <v>Dr. Chatterjee</v>
      </c>
      <c r="G271" t="str">
        <f t="shared" si="4"/>
        <v>Senior</v>
      </c>
    </row>
    <row r="272" spans="1:7" x14ac:dyDescent="0.3">
      <c r="A272" t="s">
        <v>283</v>
      </c>
      <c r="B272" t="s">
        <v>736</v>
      </c>
      <c r="C272">
        <v>45</v>
      </c>
      <c r="D272" t="s">
        <v>904</v>
      </c>
      <c r="E272">
        <v>3</v>
      </c>
      <c r="F272" t="str">
        <f>VLOOKUP(D272, Lookup_Table!$A$2:$B$10, 2, FALSE)</f>
        <v>Dr. Deshmukh</v>
      </c>
      <c r="G272" t="str">
        <f t="shared" si="4"/>
        <v>Adult</v>
      </c>
    </row>
    <row r="273" spans="1:7" x14ac:dyDescent="0.3">
      <c r="A273" t="s">
        <v>284</v>
      </c>
      <c r="B273" t="s">
        <v>749</v>
      </c>
      <c r="C273">
        <v>71</v>
      </c>
      <c r="D273" t="s">
        <v>902</v>
      </c>
      <c r="E273">
        <v>2</v>
      </c>
      <c r="F273" t="str">
        <f>VLOOKUP(D273, Lookup_Table!$A$2:$B$10, 2, FALSE)</f>
        <v>Dr. Sharma</v>
      </c>
      <c r="G273" t="str">
        <f t="shared" si="4"/>
        <v>Senior</v>
      </c>
    </row>
    <row r="274" spans="1:7" x14ac:dyDescent="0.3">
      <c r="A274" t="s">
        <v>285</v>
      </c>
      <c r="B274" t="s">
        <v>705</v>
      </c>
      <c r="C274">
        <v>49</v>
      </c>
      <c r="D274" t="s">
        <v>907</v>
      </c>
      <c r="E274">
        <v>3</v>
      </c>
      <c r="F274" t="str">
        <f>VLOOKUP(D274, Lookup_Table!$A$2:$B$10, 2, FALSE)</f>
        <v>Dr. Chatterjee</v>
      </c>
      <c r="G274" t="str">
        <f t="shared" si="4"/>
        <v>Adult</v>
      </c>
    </row>
    <row r="275" spans="1:7" x14ac:dyDescent="0.3">
      <c r="A275" t="s">
        <v>286</v>
      </c>
      <c r="B275" t="s">
        <v>750</v>
      </c>
      <c r="C275">
        <v>79</v>
      </c>
      <c r="D275" t="s">
        <v>903</v>
      </c>
      <c r="E275">
        <v>6</v>
      </c>
      <c r="F275" t="str">
        <f>VLOOKUP(D275, Lookup_Table!$A$2:$B$10, 2, FALSE)</f>
        <v>Dr. Mishra</v>
      </c>
      <c r="G275" t="str">
        <f t="shared" si="4"/>
        <v>Senior</v>
      </c>
    </row>
    <row r="276" spans="1:7" x14ac:dyDescent="0.3">
      <c r="A276" t="s">
        <v>287</v>
      </c>
      <c r="B276" t="s">
        <v>708</v>
      </c>
      <c r="C276">
        <v>69</v>
      </c>
      <c r="D276" t="s">
        <v>906</v>
      </c>
      <c r="E276">
        <v>8</v>
      </c>
      <c r="F276" t="str">
        <f>VLOOKUP(D276, Lookup_Table!$A$2:$B$10, 2, FALSE)</f>
        <v>Dr. Menon</v>
      </c>
      <c r="G276" t="str">
        <f t="shared" si="4"/>
        <v>Senior</v>
      </c>
    </row>
    <row r="277" spans="1:7" x14ac:dyDescent="0.3">
      <c r="A277" t="s">
        <v>288</v>
      </c>
      <c r="B277" t="s">
        <v>751</v>
      </c>
      <c r="C277">
        <v>89</v>
      </c>
      <c r="D277" t="s">
        <v>902</v>
      </c>
      <c r="E277">
        <v>10</v>
      </c>
      <c r="F277" t="str">
        <f>VLOOKUP(D277, Lookup_Table!$A$2:$B$10, 2, FALSE)</f>
        <v>Dr. Sharma</v>
      </c>
      <c r="G277" t="str">
        <f t="shared" si="4"/>
        <v>Senior</v>
      </c>
    </row>
    <row r="278" spans="1:7" x14ac:dyDescent="0.3">
      <c r="A278" t="s">
        <v>289</v>
      </c>
      <c r="B278" t="s">
        <v>608</v>
      </c>
      <c r="C278">
        <v>54</v>
      </c>
      <c r="D278" t="s">
        <v>908</v>
      </c>
      <c r="E278">
        <v>14</v>
      </c>
      <c r="F278" t="str">
        <f>VLOOKUP(D278, Lookup_Table!$A$2:$B$10, 2, FALSE)</f>
        <v>Dr. Rao</v>
      </c>
      <c r="G278" t="str">
        <f t="shared" si="4"/>
        <v>Adult</v>
      </c>
    </row>
    <row r="279" spans="1:7" x14ac:dyDescent="0.3">
      <c r="A279" t="s">
        <v>290</v>
      </c>
      <c r="B279" t="s">
        <v>520</v>
      </c>
      <c r="C279">
        <v>81</v>
      </c>
      <c r="D279" t="s">
        <v>907</v>
      </c>
      <c r="E279">
        <v>7</v>
      </c>
      <c r="F279" t="str">
        <f>VLOOKUP(D279, Lookup_Table!$A$2:$B$10, 2, FALSE)</f>
        <v>Dr. Chatterjee</v>
      </c>
      <c r="G279" t="str">
        <f t="shared" si="4"/>
        <v>Senior</v>
      </c>
    </row>
    <row r="280" spans="1:7" x14ac:dyDescent="0.3">
      <c r="A280" t="s">
        <v>291</v>
      </c>
      <c r="B280" t="s">
        <v>752</v>
      </c>
      <c r="C280">
        <v>82</v>
      </c>
      <c r="D280" t="s">
        <v>905</v>
      </c>
      <c r="E280">
        <v>4</v>
      </c>
      <c r="F280" t="str">
        <f>VLOOKUP(D280, Lookup_Table!$A$2:$B$10, 2, FALSE)</f>
        <v>Dr. Gupta</v>
      </c>
      <c r="G280" t="str">
        <f t="shared" si="4"/>
        <v>Senior</v>
      </c>
    </row>
    <row r="281" spans="1:7" x14ac:dyDescent="0.3">
      <c r="A281" t="s">
        <v>292</v>
      </c>
      <c r="B281" t="s">
        <v>718</v>
      </c>
      <c r="C281">
        <v>41</v>
      </c>
      <c r="D281" t="s">
        <v>909</v>
      </c>
      <c r="E281">
        <v>3</v>
      </c>
      <c r="F281" t="str">
        <f>VLOOKUP(D281, Lookup_Table!$A$2:$B$10, 2, FALSE)</f>
        <v>Dr. Tiwari</v>
      </c>
      <c r="G281" t="str">
        <f t="shared" si="4"/>
        <v>Adult</v>
      </c>
    </row>
    <row r="282" spans="1:7" x14ac:dyDescent="0.3">
      <c r="A282" t="s">
        <v>293</v>
      </c>
      <c r="B282" t="s">
        <v>658</v>
      </c>
      <c r="C282">
        <v>64</v>
      </c>
      <c r="D282" t="s">
        <v>908</v>
      </c>
      <c r="E282">
        <v>6</v>
      </c>
      <c r="F282" t="str">
        <f>VLOOKUP(D282, Lookup_Table!$A$2:$B$10, 2, FALSE)</f>
        <v>Dr. Rao</v>
      </c>
      <c r="G282" t="str">
        <f t="shared" si="4"/>
        <v>Senior</v>
      </c>
    </row>
    <row r="283" spans="1:7" x14ac:dyDescent="0.3">
      <c r="A283" t="s">
        <v>294</v>
      </c>
      <c r="B283" t="s">
        <v>533</v>
      </c>
      <c r="C283">
        <v>10</v>
      </c>
      <c r="D283" t="s">
        <v>901</v>
      </c>
      <c r="E283">
        <v>3</v>
      </c>
      <c r="F283" t="str">
        <f>VLOOKUP(D283, Lookup_Table!$A$2:$B$10, 2, FALSE)</f>
        <v>Dr. Kapoor</v>
      </c>
      <c r="G283" t="str">
        <f t="shared" si="4"/>
        <v>Child</v>
      </c>
    </row>
    <row r="284" spans="1:7" x14ac:dyDescent="0.3">
      <c r="A284" t="s">
        <v>295</v>
      </c>
      <c r="B284" t="s">
        <v>655</v>
      </c>
      <c r="C284">
        <v>27</v>
      </c>
      <c r="D284" t="s">
        <v>904</v>
      </c>
      <c r="E284">
        <v>4</v>
      </c>
      <c r="F284" t="str">
        <f>VLOOKUP(D284, Lookup_Table!$A$2:$B$10, 2, FALSE)</f>
        <v>Dr. Deshmukh</v>
      </c>
      <c r="G284" t="str">
        <f t="shared" si="4"/>
        <v>Adult</v>
      </c>
    </row>
    <row r="285" spans="1:7" x14ac:dyDescent="0.3">
      <c r="A285" t="s">
        <v>296</v>
      </c>
      <c r="B285" t="s">
        <v>753</v>
      </c>
      <c r="C285">
        <v>75</v>
      </c>
      <c r="D285" t="s">
        <v>907</v>
      </c>
      <c r="E285">
        <v>22</v>
      </c>
      <c r="F285" t="str">
        <f>VLOOKUP(D285, Lookup_Table!$A$2:$B$10, 2, FALSE)</f>
        <v>Dr. Chatterjee</v>
      </c>
      <c r="G285" t="str">
        <f t="shared" si="4"/>
        <v>Senior</v>
      </c>
    </row>
    <row r="286" spans="1:7" x14ac:dyDescent="0.3">
      <c r="A286" t="s">
        <v>297</v>
      </c>
      <c r="B286" t="s">
        <v>754</v>
      </c>
      <c r="C286">
        <v>74</v>
      </c>
      <c r="D286" t="s">
        <v>908</v>
      </c>
      <c r="E286">
        <v>2</v>
      </c>
      <c r="F286" t="str">
        <f>VLOOKUP(D286, Lookup_Table!$A$2:$B$10, 2, FALSE)</f>
        <v>Dr. Rao</v>
      </c>
      <c r="G286" t="str">
        <f t="shared" si="4"/>
        <v>Senior</v>
      </c>
    </row>
    <row r="287" spans="1:7" x14ac:dyDescent="0.3">
      <c r="A287" t="s">
        <v>298</v>
      </c>
      <c r="B287" t="s">
        <v>755</v>
      </c>
      <c r="C287">
        <v>66</v>
      </c>
      <c r="D287" t="s">
        <v>905</v>
      </c>
      <c r="E287">
        <v>3</v>
      </c>
      <c r="F287" t="str">
        <f>VLOOKUP(D287, Lookup_Table!$A$2:$B$10, 2, FALSE)</f>
        <v>Dr. Gupta</v>
      </c>
      <c r="G287" t="str">
        <f t="shared" si="4"/>
        <v>Senior</v>
      </c>
    </row>
    <row r="288" spans="1:7" x14ac:dyDescent="0.3">
      <c r="A288" t="s">
        <v>299</v>
      </c>
      <c r="B288" t="s">
        <v>756</v>
      </c>
      <c r="C288">
        <v>35</v>
      </c>
      <c r="D288" t="s">
        <v>906</v>
      </c>
      <c r="E288">
        <v>1</v>
      </c>
      <c r="F288" t="str">
        <f>VLOOKUP(D288, Lookup_Table!$A$2:$B$10, 2, FALSE)</f>
        <v>Dr. Menon</v>
      </c>
      <c r="G288" t="str">
        <f t="shared" si="4"/>
        <v>Adult</v>
      </c>
    </row>
    <row r="289" spans="1:7" x14ac:dyDescent="0.3">
      <c r="A289" t="s">
        <v>300</v>
      </c>
      <c r="B289" t="s">
        <v>757</v>
      </c>
      <c r="C289">
        <v>6</v>
      </c>
      <c r="D289" t="s">
        <v>901</v>
      </c>
      <c r="E289">
        <v>2</v>
      </c>
      <c r="F289" t="str">
        <f>VLOOKUP(D289, Lookup_Table!$A$2:$B$10, 2, FALSE)</f>
        <v>Dr. Kapoor</v>
      </c>
      <c r="G289" t="str">
        <f t="shared" si="4"/>
        <v>Child</v>
      </c>
    </row>
    <row r="290" spans="1:7" x14ac:dyDescent="0.3">
      <c r="A290" t="s">
        <v>301</v>
      </c>
      <c r="B290" t="s">
        <v>758</v>
      </c>
      <c r="C290">
        <v>40</v>
      </c>
      <c r="D290" t="s">
        <v>902</v>
      </c>
      <c r="E290">
        <v>1</v>
      </c>
      <c r="F290" t="str">
        <f>VLOOKUP(D290, Lookup_Table!$A$2:$B$10, 2, FALSE)</f>
        <v>Dr. Sharma</v>
      </c>
      <c r="G290" t="str">
        <f t="shared" si="4"/>
        <v>Adult</v>
      </c>
    </row>
    <row r="291" spans="1:7" x14ac:dyDescent="0.3">
      <c r="A291" t="s">
        <v>302</v>
      </c>
      <c r="B291" t="s">
        <v>759</v>
      </c>
      <c r="C291">
        <v>77</v>
      </c>
      <c r="D291" t="s">
        <v>909</v>
      </c>
      <c r="E291">
        <v>1</v>
      </c>
      <c r="F291" t="str">
        <f>VLOOKUP(D291, Lookup_Table!$A$2:$B$10, 2, FALSE)</f>
        <v>Dr. Tiwari</v>
      </c>
      <c r="G291" t="str">
        <f t="shared" si="4"/>
        <v>Senior</v>
      </c>
    </row>
    <row r="292" spans="1:7" x14ac:dyDescent="0.3">
      <c r="A292" t="s">
        <v>303</v>
      </c>
      <c r="B292" t="s">
        <v>760</v>
      </c>
      <c r="C292">
        <v>72</v>
      </c>
      <c r="D292" t="s">
        <v>902</v>
      </c>
      <c r="E292">
        <v>3</v>
      </c>
      <c r="F292" t="str">
        <f>VLOOKUP(D292, Lookup_Table!$A$2:$B$10, 2, FALSE)</f>
        <v>Dr. Sharma</v>
      </c>
      <c r="G292" t="str">
        <f t="shared" si="4"/>
        <v>Senior</v>
      </c>
    </row>
    <row r="293" spans="1:7" x14ac:dyDescent="0.3">
      <c r="A293" t="s">
        <v>304</v>
      </c>
      <c r="B293" t="s">
        <v>680</v>
      </c>
      <c r="C293">
        <v>26</v>
      </c>
      <c r="D293" t="s">
        <v>904</v>
      </c>
      <c r="E293">
        <v>1</v>
      </c>
      <c r="F293" t="str">
        <f>VLOOKUP(D293, Lookup_Table!$A$2:$B$10, 2, FALSE)</f>
        <v>Dr. Deshmukh</v>
      </c>
      <c r="G293" t="str">
        <f t="shared" si="4"/>
        <v>Adult</v>
      </c>
    </row>
    <row r="294" spans="1:7" x14ac:dyDescent="0.3">
      <c r="A294" t="s">
        <v>305</v>
      </c>
      <c r="B294" t="s">
        <v>730</v>
      </c>
      <c r="C294">
        <v>43</v>
      </c>
      <c r="D294" t="s">
        <v>904</v>
      </c>
      <c r="E294">
        <v>2</v>
      </c>
      <c r="F294" t="str">
        <f>VLOOKUP(D294, Lookup_Table!$A$2:$B$10, 2, FALSE)</f>
        <v>Dr. Deshmukh</v>
      </c>
      <c r="G294" t="str">
        <f t="shared" si="4"/>
        <v>Adult</v>
      </c>
    </row>
    <row r="295" spans="1:7" x14ac:dyDescent="0.3">
      <c r="A295" t="s">
        <v>306</v>
      </c>
      <c r="B295" t="s">
        <v>761</v>
      </c>
      <c r="C295">
        <v>23</v>
      </c>
      <c r="D295" t="s">
        <v>905</v>
      </c>
      <c r="E295">
        <v>1</v>
      </c>
      <c r="F295" t="str">
        <f>VLOOKUP(D295, Lookup_Table!$A$2:$B$10, 2, FALSE)</f>
        <v>Dr. Gupta</v>
      </c>
      <c r="G295" t="str">
        <f t="shared" si="4"/>
        <v>Adult</v>
      </c>
    </row>
    <row r="296" spans="1:7" x14ac:dyDescent="0.3">
      <c r="A296" t="s">
        <v>307</v>
      </c>
      <c r="B296" t="s">
        <v>762</v>
      </c>
      <c r="C296">
        <v>73</v>
      </c>
      <c r="D296" t="s">
        <v>906</v>
      </c>
      <c r="E296">
        <v>1</v>
      </c>
      <c r="F296" t="str">
        <f>VLOOKUP(D296, Lookup_Table!$A$2:$B$10, 2, FALSE)</f>
        <v>Dr. Menon</v>
      </c>
      <c r="G296" t="str">
        <f t="shared" si="4"/>
        <v>Senior</v>
      </c>
    </row>
    <row r="297" spans="1:7" x14ac:dyDescent="0.3">
      <c r="A297" t="s">
        <v>308</v>
      </c>
      <c r="B297" t="s">
        <v>681</v>
      </c>
      <c r="C297">
        <v>39</v>
      </c>
      <c r="D297" t="s">
        <v>906</v>
      </c>
      <c r="E297">
        <v>8</v>
      </c>
      <c r="F297" t="str">
        <f>VLOOKUP(D297, Lookup_Table!$A$2:$B$10, 2, FALSE)</f>
        <v>Dr. Menon</v>
      </c>
      <c r="G297" t="str">
        <f t="shared" si="4"/>
        <v>Adult</v>
      </c>
    </row>
    <row r="298" spans="1:7" x14ac:dyDescent="0.3">
      <c r="A298" t="s">
        <v>309</v>
      </c>
      <c r="B298" t="s">
        <v>763</v>
      </c>
      <c r="C298">
        <v>75</v>
      </c>
      <c r="D298" t="s">
        <v>905</v>
      </c>
      <c r="E298">
        <v>3</v>
      </c>
      <c r="F298" t="str">
        <f>VLOOKUP(D298, Lookup_Table!$A$2:$B$10, 2, FALSE)</f>
        <v>Dr. Gupta</v>
      </c>
      <c r="G298" t="str">
        <f t="shared" si="4"/>
        <v>Senior</v>
      </c>
    </row>
    <row r="299" spans="1:7" x14ac:dyDescent="0.3">
      <c r="A299" t="s">
        <v>310</v>
      </c>
      <c r="B299" t="s">
        <v>764</v>
      </c>
      <c r="C299">
        <v>29</v>
      </c>
      <c r="D299" t="s">
        <v>906</v>
      </c>
      <c r="E299">
        <v>1</v>
      </c>
      <c r="F299" t="str">
        <f>VLOOKUP(D299, Lookup_Table!$A$2:$B$10, 2, FALSE)</f>
        <v>Dr. Menon</v>
      </c>
      <c r="G299" t="str">
        <f t="shared" si="4"/>
        <v>Adult</v>
      </c>
    </row>
    <row r="300" spans="1:7" x14ac:dyDescent="0.3">
      <c r="A300" t="s">
        <v>311</v>
      </c>
      <c r="B300" t="s">
        <v>605</v>
      </c>
      <c r="C300">
        <v>56</v>
      </c>
      <c r="D300" t="s">
        <v>902</v>
      </c>
      <c r="E300">
        <v>3</v>
      </c>
      <c r="F300" t="str">
        <f>VLOOKUP(D300, Lookup_Table!$A$2:$B$10, 2, FALSE)</f>
        <v>Dr. Sharma</v>
      </c>
      <c r="G300" t="str">
        <f t="shared" si="4"/>
        <v>Adult</v>
      </c>
    </row>
    <row r="301" spans="1:7" x14ac:dyDescent="0.3">
      <c r="A301" t="s">
        <v>312</v>
      </c>
      <c r="B301" t="s">
        <v>625</v>
      </c>
      <c r="C301">
        <v>65</v>
      </c>
      <c r="D301" t="s">
        <v>907</v>
      </c>
      <c r="E301">
        <v>14</v>
      </c>
      <c r="F301" t="str">
        <f>VLOOKUP(D301, Lookup_Table!$A$2:$B$10, 2, FALSE)</f>
        <v>Dr. Chatterjee</v>
      </c>
      <c r="G301" t="str">
        <f t="shared" si="4"/>
        <v>Senior</v>
      </c>
    </row>
    <row r="302" spans="1:7" x14ac:dyDescent="0.3">
      <c r="A302" t="s">
        <v>313</v>
      </c>
      <c r="B302" t="s">
        <v>604</v>
      </c>
      <c r="C302">
        <v>12</v>
      </c>
      <c r="D302" t="s">
        <v>901</v>
      </c>
      <c r="E302">
        <v>1</v>
      </c>
      <c r="F302" t="str">
        <f>VLOOKUP(D302, Lookup_Table!$A$2:$B$10, 2, FALSE)</f>
        <v>Dr. Kapoor</v>
      </c>
      <c r="G302" t="str">
        <f t="shared" si="4"/>
        <v>Child</v>
      </c>
    </row>
    <row r="303" spans="1:7" x14ac:dyDescent="0.3">
      <c r="A303" t="s">
        <v>314</v>
      </c>
      <c r="B303" t="s">
        <v>765</v>
      </c>
      <c r="C303">
        <v>18</v>
      </c>
      <c r="D303" t="s">
        <v>906</v>
      </c>
      <c r="E303">
        <v>4</v>
      </c>
      <c r="F303" t="str">
        <f>VLOOKUP(D303, Lookup_Table!$A$2:$B$10, 2, FALSE)</f>
        <v>Dr. Menon</v>
      </c>
      <c r="G303" t="str">
        <f t="shared" si="4"/>
        <v>Adult</v>
      </c>
    </row>
    <row r="304" spans="1:7" x14ac:dyDescent="0.3">
      <c r="A304" t="s">
        <v>315</v>
      </c>
      <c r="B304" t="s">
        <v>766</v>
      </c>
      <c r="C304">
        <v>71</v>
      </c>
      <c r="D304" t="s">
        <v>908</v>
      </c>
      <c r="E304">
        <v>1</v>
      </c>
      <c r="F304" t="str">
        <f>VLOOKUP(D304, Lookup_Table!$A$2:$B$10, 2, FALSE)</f>
        <v>Dr. Rao</v>
      </c>
      <c r="G304" t="str">
        <f t="shared" si="4"/>
        <v>Senior</v>
      </c>
    </row>
    <row r="305" spans="1:7" x14ac:dyDescent="0.3">
      <c r="A305" t="s">
        <v>316</v>
      </c>
      <c r="B305" t="s">
        <v>537</v>
      </c>
      <c r="C305">
        <v>78</v>
      </c>
      <c r="D305" t="s">
        <v>907</v>
      </c>
      <c r="E305">
        <v>1</v>
      </c>
      <c r="F305" t="str">
        <f>VLOOKUP(D305, Lookup_Table!$A$2:$B$10, 2, FALSE)</f>
        <v>Dr. Chatterjee</v>
      </c>
      <c r="G305" t="str">
        <f t="shared" si="4"/>
        <v>Senior</v>
      </c>
    </row>
    <row r="306" spans="1:7" x14ac:dyDescent="0.3">
      <c r="A306" t="s">
        <v>317</v>
      </c>
      <c r="B306" t="s">
        <v>767</v>
      </c>
      <c r="C306">
        <v>9</v>
      </c>
      <c r="D306" t="s">
        <v>901</v>
      </c>
      <c r="E306">
        <v>2</v>
      </c>
      <c r="F306" t="str">
        <f>VLOOKUP(D306, Lookup_Table!$A$2:$B$10, 2, FALSE)</f>
        <v>Dr. Kapoor</v>
      </c>
      <c r="G306" t="str">
        <f t="shared" si="4"/>
        <v>Child</v>
      </c>
    </row>
    <row r="307" spans="1:7" x14ac:dyDescent="0.3">
      <c r="A307" t="s">
        <v>318</v>
      </c>
      <c r="B307" t="s">
        <v>768</v>
      </c>
      <c r="C307">
        <v>71</v>
      </c>
      <c r="D307" t="s">
        <v>906</v>
      </c>
      <c r="E307">
        <v>3</v>
      </c>
      <c r="F307" t="str">
        <f>VLOOKUP(D307, Lookup_Table!$A$2:$B$10, 2, FALSE)</f>
        <v>Dr. Menon</v>
      </c>
      <c r="G307" t="str">
        <f t="shared" si="4"/>
        <v>Senior</v>
      </c>
    </row>
    <row r="308" spans="1:7" x14ac:dyDescent="0.3">
      <c r="A308" t="s">
        <v>319</v>
      </c>
      <c r="B308" t="s">
        <v>769</v>
      </c>
      <c r="C308">
        <v>52</v>
      </c>
      <c r="D308" t="s">
        <v>902</v>
      </c>
      <c r="E308">
        <v>5</v>
      </c>
      <c r="F308" t="str">
        <f>VLOOKUP(D308, Lookup_Table!$A$2:$B$10, 2, FALSE)</f>
        <v>Dr. Sharma</v>
      </c>
      <c r="G308" t="str">
        <f t="shared" si="4"/>
        <v>Adult</v>
      </c>
    </row>
    <row r="309" spans="1:7" x14ac:dyDescent="0.3">
      <c r="A309" t="s">
        <v>320</v>
      </c>
      <c r="B309" t="s">
        <v>770</v>
      </c>
      <c r="C309">
        <v>46</v>
      </c>
      <c r="D309" t="s">
        <v>905</v>
      </c>
      <c r="E309">
        <v>9</v>
      </c>
      <c r="F309" t="str">
        <f>VLOOKUP(D309, Lookup_Table!$A$2:$B$10, 2, FALSE)</f>
        <v>Dr. Gupta</v>
      </c>
      <c r="G309" t="str">
        <f t="shared" si="4"/>
        <v>Adult</v>
      </c>
    </row>
    <row r="310" spans="1:7" x14ac:dyDescent="0.3">
      <c r="A310" t="s">
        <v>321</v>
      </c>
      <c r="B310" t="s">
        <v>771</v>
      </c>
      <c r="C310">
        <v>31</v>
      </c>
      <c r="D310" t="s">
        <v>907</v>
      </c>
      <c r="E310">
        <v>37</v>
      </c>
      <c r="F310" t="str">
        <f>VLOOKUP(D310, Lookup_Table!$A$2:$B$10, 2, FALSE)</f>
        <v>Dr. Chatterjee</v>
      </c>
      <c r="G310" t="str">
        <f t="shared" si="4"/>
        <v>Adult</v>
      </c>
    </row>
    <row r="311" spans="1:7" x14ac:dyDescent="0.3">
      <c r="A311" t="s">
        <v>322</v>
      </c>
      <c r="B311" t="s">
        <v>772</v>
      </c>
      <c r="C311">
        <v>14</v>
      </c>
      <c r="D311" t="s">
        <v>901</v>
      </c>
      <c r="E311">
        <v>2</v>
      </c>
      <c r="F311" t="str">
        <f>VLOOKUP(D311, Lookup_Table!$A$2:$B$10, 2, FALSE)</f>
        <v>Dr. Kapoor</v>
      </c>
      <c r="G311" t="str">
        <f t="shared" si="4"/>
        <v>Child</v>
      </c>
    </row>
    <row r="312" spans="1:7" x14ac:dyDescent="0.3">
      <c r="A312" t="s">
        <v>323</v>
      </c>
      <c r="B312" t="s">
        <v>773</v>
      </c>
      <c r="C312">
        <v>38</v>
      </c>
      <c r="D312" t="s">
        <v>906</v>
      </c>
      <c r="E312">
        <v>1</v>
      </c>
      <c r="F312" t="str">
        <f>VLOOKUP(D312, Lookup_Table!$A$2:$B$10, 2, FALSE)</f>
        <v>Dr. Menon</v>
      </c>
      <c r="G312" t="str">
        <f t="shared" si="4"/>
        <v>Adult</v>
      </c>
    </row>
    <row r="313" spans="1:7" x14ac:dyDescent="0.3">
      <c r="A313" t="s">
        <v>324</v>
      </c>
      <c r="B313" t="s">
        <v>774</v>
      </c>
      <c r="C313">
        <v>27</v>
      </c>
      <c r="D313" t="s">
        <v>909</v>
      </c>
      <c r="E313">
        <v>3</v>
      </c>
      <c r="F313" t="str">
        <f>VLOOKUP(D313, Lookup_Table!$A$2:$B$10, 2, FALSE)</f>
        <v>Dr. Tiwari</v>
      </c>
      <c r="G313" t="str">
        <f t="shared" si="4"/>
        <v>Adult</v>
      </c>
    </row>
    <row r="314" spans="1:7" x14ac:dyDescent="0.3">
      <c r="A314" t="s">
        <v>325</v>
      </c>
      <c r="B314" t="s">
        <v>775</v>
      </c>
      <c r="C314">
        <v>10</v>
      </c>
      <c r="D314" t="s">
        <v>901</v>
      </c>
      <c r="E314">
        <v>1</v>
      </c>
      <c r="F314" t="str">
        <f>VLOOKUP(D314, Lookup_Table!$A$2:$B$10, 2, FALSE)</f>
        <v>Dr. Kapoor</v>
      </c>
      <c r="G314" t="str">
        <f t="shared" si="4"/>
        <v>Child</v>
      </c>
    </row>
    <row r="315" spans="1:7" x14ac:dyDescent="0.3">
      <c r="A315" t="s">
        <v>326</v>
      </c>
      <c r="B315" t="s">
        <v>776</v>
      </c>
      <c r="C315">
        <v>23</v>
      </c>
      <c r="D315" t="s">
        <v>909</v>
      </c>
      <c r="E315">
        <v>1</v>
      </c>
      <c r="F315" t="str">
        <f>VLOOKUP(D315, Lookup_Table!$A$2:$B$10, 2, FALSE)</f>
        <v>Dr. Tiwari</v>
      </c>
      <c r="G315" t="str">
        <f t="shared" si="4"/>
        <v>Adult</v>
      </c>
    </row>
    <row r="316" spans="1:7" x14ac:dyDescent="0.3">
      <c r="A316" t="s">
        <v>327</v>
      </c>
      <c r="B316" t="s">
        <v>777</v>
      </c>
      <c r="C316">
        <v>62</v>
      </c>
      <c r="D316" t="s">
        <v>907</v>
      </c>
      <c r="E316">
        <v>1</v>
      </c>
      <c r="F316" t="str">
        <f>VLOOKUP(D316, Lookup_Table!$A$2:$B$10, 2, FALSE)</f>
        <v>Dr. Chatterjee</v>
      </c>
      <c r="G316" t="str">
        <f t="shared" si="4"/>
        <v>Senior</v>
      </c>
    </row>
    <row r="317" spans="1:7" x14ac:dyDescent="0.3">
      <c r="A317" t="s">
        <v>328</v>
      </c>
      <c r="B317" t="s">
        <v>778</v>
      </c>
      <c r="C317">
        <v>6</v>
      </c>
      <c r="D317" t="s">
        <v>901</v>
      </c>
      <c r="E317">
        <v>1</v>
      </c>
      <c r="F317" t="str">
        <f>VLOOKUP(D317, Lookup_Table!$A$2:$B$10, 2, FALSE)</f>
        <v>Dr. Kapoor</v>
      </c>
      <c r="G317" t="str">
        <f t="shared" si="4"/>
        <v>Child</v>
      </c>
    </row>
    <row r="318" spans="1:7" x14ac:dyDescent="0.3">
      <c r="A318" t="s">
        <v>329</v>
      </c>
      <c r="B318" t="s">
        <v>779</v>
      </c>
      <c r="C318">
        <v>39</v>
      </c>
      <c r="D318" t="s">
        <v>907</v>
      </c>
      <c r="E318">
        <v>32</v>
      </c>
      <c r="F318" t="str">
        <f>VLOOKUP(D318, Lookup_Table!$A$2:$B$10, 2, FALSE)</f>
        <v>Dr. Chatterjee</v>
      </c>
      <c r="G318" t="str">
        <f t="shared" si="4"/>
        <v>Adult</v>
      </c>
    </row>
    <row r="319" spans="1:7" x14ac:dyDescent="0.3">
      <c r="A319" t="s">
        <v>330</v>
      </c>
      <c r="B319" t="s">
        <v>771</v>
      </c>
      <c r="C319">
        <v>72</v>
      </c>
      <c r="D319" t="s">
        <v>907</v>
      </c>
      <c r="E319">
        <v>18</v>
      </c>
      <c r="F319" t="str">
        <f>VLOOKUP(D319, Lookup_Table!$A$2:$B$10, 2, FALSE)</f>
        <v>Dr. Chatterjee</v>
      </c>
      <c r="G319" t="str">
        <f t="shared" si="4"/>
        <v>Senior</v>
      </c>
    </row>
    <row r="320" spans="1:7" x14ac:dyDescent="0.3">
      <c r="A320" t="s">
        <v>331</v>
      </c>
      <c r="B320" t="s">
        <v>780</v>
      </c>
      <c r="C320">
        <v>56</v>
      </c>
      <c r="D320" t="s">
        <v>905</v>
      </c>
      <c r="E320">
        <v>8</v>
      </c>
      <c r="F320" t="str">
        <f>VLOOKUP(D320, Lookup_Table!$A$2:$B$10, 2, FALSE)</f>
        <v>Dr. Gupta</v>
      </c>
      <c r="G320" t="str">
        <f t="shared" si="4"/>
        <v>Adult</v>
      </c>
    </row>
    <row r="321" spans="1:7" x14ac:dyDescent="0.3">
      <c r="A321" t="s">
        <v>332</v>
      </c>
      <c r="B321" t="s">
        <v>781</v>
      </c>
      <c r="C321">
        <v>68</v>
      </c>
      <c r="D321" t="s">
        <v>906</v>
      </c>
      <c r="E321">
        <v>2</v>
      </c>
      <c r="F321" t="str">
        <f>VLOOKUP(D321, Lookup_Table!$A$2:$B$10, 2, FALSE)</f>
        <v>Dr. Menon</v>
      </c>
      <c r="G321" t="str">
        <f t="shared" si="4"/>
        <v>Senior</v>
      </c>
    </row>
    <row r="322" spans="1:7" x14ac:dyDescent="0.3">
      <c r="A322" t="s">
        <v>333</v>
      </c>
      <c r="B322" t="s">
        <v>645</v>
      </c>
      <c r="C322">
        <v>60</v>
      </c>
      <c r="D322" t="s">
        <v>902</v>
      </c>
      <c r="E322">
        <v>1</v>
      </c>
      <c r="F322" t="str">
        <f>VLOOKUP(D322, Lookup_Table!$A$2:$B$10, 2, FALSE)</f>
        <v>Dr. Sharma</v>
      </c>
      <c r="G322" t="str">
        <f t="shared" si="4"/>
        <v>Senior</v>
      </c>
    </row>
    <row r="323" spans="1:7" x14ac:dyDescent="0.3">
      <c r="A323" t="s">
        <v>334</v>
      </c>
      <c r="B323" t="s">
        <v>587</v>
      </c>
      <c r="C323">
        <v>6</v>
      </c>
      <c r="D323" t="s">
        <v>901</v>
      </c>
      <c r="E323">
        <v>1</v>
      </c>
      <c r="F323" t="str">
        <f>VLOOKUP(D323, Lookup_Table!$A$2:$B$10, 2, FALSE)</f>
        <v>Dr. Kapoor</v>
      </c>
      <c r="G323" t="str">
        <f t="shared" si="4"/>
        <v>Child</v>
      </c>
    </row>
    <row r="324" spans="1:7" x14ac:dyDescent="0.3">
      <c r="A324" t="s">
        <v>335</v>
      </c>
      <c r="B324" t="s">
        <v>782</v>
      </c>
      <c r="C324">
        <v>30</v>
      </c>
      <c r="D324" t="s">
        <v>903</v>
      </c>
      <c r="E324">
        <v>1</v>
      </c>
      <c r="F324" t="str">
        <f>VLOOKUP(D324, Lookup_Table!$A$2:$B$10, 2, FALSE)</f>
        <v>Dr. Mishra</v>
      </c>
      <c r="G324" t="str">
        <f t="shared" si="4"/>
        <v>Adult</v>
      </c>
    </row>
    <row r="325" spans="1:7" x14ac:dyDescent="0.3">
      <c r="A325" t="s">
        <v>336</v>
      </c>
      <c r="B325" t="s">
        <v>561</v>
      </c>
      <c r="C325">
        <v>80</v>
      </c>
      <c r="D325" t="s">
        <v>905</v>
      </c>
      <c r="E325">
        <v>5</v>
      </c>
      <c r="F325" t="str">
        <f>VLOOKUP(D325, Lookup_Table!$A$2:$B$10, 2, FALSE)</f>
        <v>Dr. Gupta</v>
      </c>
      <c r="G325" t="str">
        <f t="shared" ref="G325:G388" si="5">IF(C325&lt;18,"Child", IF(C325&lt;60,"Adult","Senior"))</f>
        <v>Senior</v>
      </c>
    </row>
    <row r="326" spans="1:7" x14ac:dyDescent="0.3">
      <c r="A326" t="s">
        <v>337</v>
      </c>
      <c r="B326" t="s">
        <v>735</v>
      </c>
      <c r="C326">
        <v>77</v>
      </c>
      <c r="D326" t="s">
        <v>902</v>
      </c>
      <c r="E326">
        <v>6</v>
      </c>
      <c r="F326" t="str">
        <f>VLOOKUP(D326, Lookup_Table!$A$2:$B$10, 2, FALSE)</f>
        <v>Dr. Sharma</v>
      </c>
      <c r="G326" t="str">
        <f t="shared" si="5"/>
        <v>Senior</v>
      </c>
    </row>
    <row r="327" spans="1:7" x14ac:dyDescent="0.3">
      <c r="A327" t="s">
        <v>338</v>
      </c>
      <c r="B327" t="s">
        <v>783</v>
      </c>
      <c r="C327">
        <v>67</v>
      </c>
      <c r="D327" t="s">
        <v>907</v>
      </c>
      <c r="E327">
        <v>10</v>
      </c>
      <c r="F327" t="str">
        <f>VLOOKUP(D327, Lookup_Table!$A$2:$B$10, 2, FALSE)</f>
        <v>Dr. Chatterjee</v>
      </c>
      <c r="G327" t="str">
        <f t="shared" si="5"/>
        <v>Senior</v>
      </c>
    </row>
    <row r="328" spans="1:7" x14ac:dyDescent="0.3">
      <c r="A328" t="s">
        <v>339</v>
      </c>
      <c r="B328" t="s">
        <v>784</v>
      </c>
      <c r="C328">
        <v>21</v>
      </c>
      <c r="D328" t="s">
        <v>905</v>
      </c>
      <c r="E328">
        <v>2</v>
      </c>
      <c r="F328" t="str">
        <f>VLOOKUP(D328, Lookup_Table!$A$2:$B$10, 2, FALSE)</f>
        <v>Dr. Gupta</v>
      </c>
      <c r="G328" t="str">
        <f t="shared" si="5"/>
        <v>Adult</v>
      </c>
    </row>
    <row r="329" spans="1:7" x14ac:dyDescent="0.3">
      <c r="A329" t="s">
        <v>340</v>
      </c>
      <c r="B329" t="s">
        <v>538</v>
      </c>
      <c r="C329">
        <v>41</v>
      </c>
      <c r="D329" t="s">
        <v>904</v>
      </c>
      <c r="E329">
        <v>9</v>
      </c>
      <c r="F329" t="str">
        <f>VLOOKUP(D329, Lookup_Table!$A$2:$B$10, 2, FALSE)</f>
        <v>Dr. Deshmukh</v>
      </c>
      <c r="G329" t="str">
        <f t="shared" si="5"/>
        <v>Adult</v>
      </c>
    </row>
    <row r="330" spans="1:7" x14ac:dyDescent="0.3">
      <c r="A330" t="s">
        <v>341</v>
      </c>
      <c r="B330" t="s">
        <v>521</v>
      </c>
      <c r="C330">
        <v>38</v>
      </c>
      <c r="D330" t="s">
        <v>906</v>
      </c>
      <c r="E330">
        <v>6</v>
      </c>
      <c r="F330" t="str">
        <f>VLOOKUP(D330, Lookup_Table!$A$2:$B$10, 2, FALSE)</f>
        <v>Dr. Menon</v>
      </c>
      <c r="G330" t="str">
        <f t="shared" si="5"/>
        <v>Adult</v>
      </c>
    </row>
    <row r="331" spans="1:7" x14ac:dyDescent="0.3">
      <c r="A331" t="s">
        <v>342</v>
      </c>
      <c r="B331" t="s">
        <v>573</v>
      </c>
      <c r="C331">
        <v>51</v>
      </c>
      <c r="D331" t="s">
        <v>909</v>
      </c>
      <c r="E331">
        <v>1</v>
      </c>
      <c r="F331" t="str">
        <f>VLOOKUP(D331, Lookup_Table!$A$2:$B$10, 2, FALSE)</f>
        <v>Dr. Tiwari</v>
      </c>
      <c r="G331" t="str">
        <f t="shared" si="5"/>
        <v>Adult</v>
      </c>
    </row>
    <row r="332" spans="1:7" x14ac:dyDescent="0.3">
      <c r="A332" t="s">
        <v>343</v>
      </c>
      <c r="B332" t="s">
        <v>579</v>
      </c>
      <c r="C332">
        <v>73</v>
      </c>
      <c r="D332" t="s">
        <v>902</v>
      </c>
      <c r="E332">
        <v>4</v>
      </c>
      <c r="F332" t="str">
        <f>VLOOKUP(D332, Lookup_Table!$A$2:$B$10, 2, FALSE)</f>
        <v>Dr. Sharma</v>
      </c>
      <c r="G332" t="str">
        <f t="shared" si="5"/>
        <v>Senior</v>
      </c>
    </row>
    <row r="333" spans="1:7" x14ac:dyDescent="0.3">
      <c r="A333" t="s">
        <v>344</v>
      </c>
      <c r="B333" t="s">
        <v>785</v>
      </c>
      <c r="C333">
        <v>66</v>
      </c>
      <c r="D333" t="s">
        <v>905</v>
      </c>
      <c r="E333">
        <v>3</v>
      </c>
      <c r="F333" t="str">
        <f>VLOOKUP(D333, Lookup_Table!$A$2:$B$10, 2, FALSE)</f>
        <v>Dr. Gupta</v>
      </c>
      <c r="G333" t="str">
        <f t="shared" si="5"/>
        <v>Senior</v>
      </c>
    </row>
    <row r="334" spans="1:7" x14ac:dyDescent="0.3">
      <c r="A334" t="s">
        <v>345</v>
      </c>
      <c r="B334" t="s">
        <v>641</v>
      </c>
      <c r="C334">
        <v>27</v>
      </c>
      <c r="D334" t="s">
        <v>909</v>
      </c>
      <c r="E334">
        <v>1</v>
      </c>
      <c r="F334" t="str">
        <f>VLOOKUP(D334, Lookup_Table!$A$2:$B$10, 2, FALSE)</f>
        <v>Dr. Tiwari</v>
      </c>
      <c r="G334" t="str">
        <f t="shared" si="5"/>
        <v>Adult</v>
      </c>
    </row>
    <row r="335" spans="1:7" x14ac:dyDescent="0.3">
      <c r="A335" t="s">
        <v>346</v>
      </c>
      <c r="B335" t="s">
        <v>565</v>
      </c>
      <c r="C335">
        <v>72</v>
      </c>
      <c r="D335" t="s">
        <v>907</v>
      </c>
      <c r="E335">
        <v>4</v>
      </c>
      <c r="F335" t="str">
        <f>VLOOKUP(D335, Lookup_Table!$A$2:$B$10, 2, FALSE)</f>
        <v>Dr. Chatterjee</v>
      </c>
      <c r="G335" t="str">
        <f t="shared" si="5"/>
        <v>Senior</v>
      </c>
    </row>
    <row r="336" spans="1:7" x14ac:dyDescent="0.3">
      <c r="A336" t="s">
        <v>347</v>
      </c>
      <c r="B336" t="s">
        <v>786</v>
      </c>
      <c r="C336">
        <v>37</v>
      </c>
      <c r="D336" t="s">
        <v>902</v>
      </c>
      <c r="E336">
        <v>7</v>
      </c>
      <c r="F336" t="str">
        <f>VLOOKUP(D336, Lookup_Table!$A$2:$B$10, 2, FALSE)</f>
        <v>Dr. Sharma</v>
      </c>
      <c r="G336" t="str">
        <f t="shared" si="5"/>
        <v>Adult</v>
      </c>
    </row>
    <row r="337" spans="1:7" x14ac:dyDescent="0.3">
      <c r="A337" t="s">
        <v>348</v>
      </c>
      <c r="B337" t="s">
        <v>787</v>
      </c>
      <c r="C337">
        <v>79</v>
      </c>
      <c r="D337" t="s">
        <v>909</v>
      </c>
      <c r="E337">
        <v>1</v>
      </c>
      <c r="F337" t="str">
        <f>VLOOKUP(D337, Lookup_Table!$A$2:$B$10, 2, FALSE)</f>
        <v>Dr. Tiwari</v>
      </c>
      <c r="G337" t="str">
        <f t="shared" si="5"/>
        <v>Senior</v>
      </c>
    </row>
    <row r="338" spans="1:7" x14ac:dyDescent="0.3">
      <c r="A338" t="s">
        <v>349</v>
      </c>
      <c r="B338" t="s">
        <v>553</v>
      </c>
      <c r="C338">
        <v>67</v>
      </c>
      <c r="D338" t="s">
        <v>905</v>
      </c>
      <c r="E338">
        <v>1</v>
      </c>
      <c r="F338" t="str">
        <f>VLOOKUP(D338, Lookup_Table!$A$2:$B$10, 2, FALSE)</f>
        <v>Dr. Gupta</v>
      </c>
      <c r="G338" t="str">
        <f t="shared" si="5"/>
        <v>Senior</v>
      </c>
    </row>
    <row r="339" spans="1:7" x14ac:dyDescent="0.3">
      <c r="A339" t="s">
        <v>350</v>
      </c>
      <c r="B339" t="s">
        <v>717</v>
      </c>
      <c r="C339">
        <v>75</v>
      </c>
      <c r="D339" t="s">
        <v>902</v>
      </c>
      <c r="E339">
        <v>1</v>
      </c>
      <c r="F339" t="str">
        <f>VLOOKUP(D339, Lookup_Table!$A$2:$B$10, 2, FALSE)</f>
        <v>Dr. Sharma</v>
      </c>
      <c r="G339" t="str">
        <f t="shared" si="5"/>
        <v>Senior</v>
      </c>
    </row>
    <row r="340" spans="1:7" x14ac:dyDescent="0.3">
      <c r="A340" t="s">
        <v>351</v>
      </c>
      <c r="B340" t="s">
        <v>715</v>
      </c>
      <c r="C340">
        <v>66</v>
      </c>
      <c r="D340" t="s">
        <v>907</v>
      </c>
      <c r="E340">
        <v>1</v>
      </c>
      <c r="F340" t="str">
        <f>VLOOKUP(D340, Lookup_Table!$A$2:$B$10, 2, FALSE)</f>
        <v>Dr. Chatterjee</v>
      </c>
      <c r="G340" t="str">
        <f t="shared" si="5"/>
        <v>Senior</v>
      </c>
    </row>
    <row r="341" spans="1:7" x14ac:dyDescent="0.3">
      <c r="A341" t="s">
        <v>352</v>
      </c>
      <c r="B341" t="s">
        <v>709</v>
      </c>
      <c r="C341">
        <v>28</v>
      </c>
      <c r="D341" t="s">
        <v>903</v>
      </c>
      <c r="E341">
        <v>7</v>
      </c>
      <c r="F341" t="str">
        <f>VLOOKUP(D341, Lookup_Table!$A$2:$B$10, 2, FALSE)</f>
        <v>Dr. Mishra</v>
      </c>
      <c r="G341" t="str">
        <f t="shared" si="5"/>
        <v>Adult</v>
      </c>
    </row>
    <row r="342" spans="1:7" x14ac:dyDescent="0.3">
      <c r="A342" t="s">
        <v>353</v>
      </c>
      <c r="B342" t="s">
        <v>754</v>
      </c>
      <c r="C342">
        <v>66</v>
      </c>
      <c r="D342" t="s">
        <v>905</v>
      </c>
      <c r="E342">
        <v>8</v>
      </c>
      <c r="F342" t="str">
        <f>VLOOKUP(D342, Lookup_Table!$A$2:$B$10, 2, FALSE)</f>
        <v>Dr. Gupta</v>
      </c>
      <c r="G342" t="str">
        <f t="shared" si="5"/>
        <v>Senior</v>
      </c>
    </row>
    <row r="343" spans="1:7" x14ac:dyDescent="0.3">
      <c r="A343" t="s">
        <v>354</v>
      </c>
      <c r="B343" t="s">
        <v>788</v>
      </c>
      <c r="C343">
        <v>37</v>
      </c>
      <c r="D343" t="s">
        <v>904</v>
      </c>
      <c r="E343">
        <v>1</v>
      </c>
      <c r="F343" t="str">
        <f>VLOOKUP(D343, Lookup_Table!$A$2:$B$10, 2, FALSE)</f>
        <v>Dr. Deshmukh</v>
      </c>
      <c r="G343" t="str">
        <f t="shared" si="5"/>
        <v>Adult</v>
      </c>
    </row>
    <row r="344" spans="1:7" x14ac:dyDescent="0.3">
      <c r="A344" t="s">
        <v>355</v>
      </c>
      <c r="B344" t="s">
        <v>647</v>
      </c>
      <c r="C344">
        <v>57</v>
      </c>
      <c r="D344" t="s">
        <v>906</v>
      </c>
      <c r="E344">
        <v>1</v>
      </c>
      <c r="F344" t="str">
        <f>VLOOKUP(D344, Lookup_Table!$A$2:$B$10, 2, FALSE)</f>
        <v>Dr. Menon</v>
      </c>
      <c r="G344" t="str">
        <f t="shared" si="5"/>
        <v>Adult</v>
      </c>
    </row>
    <row r="345" spans="1:7" x14ac:dyDescent="0.3">
      <c r="A345" t="s">
        <v>356</v>
      </c>
      <c r="B345" t="s">
        <v>789</v>
      </c>
      <c r="C345">
        <v>24</v>
      </c>
      <c r="D345" t="s">
        <v>906</v>
      </c>
      <c r="E345">
        <v>3</v>
      </c>
      <c r="F345" t="str">
        <f>VLOOKUP(D345, Lookup_Table!$A$2:$B$10, 2, FALSE)</f>
        <v>Dr. Menon</v>
      </c>
      <c r="G345" t="str">
        <f t="shared" si="5"/>
        <v>Adult</v>
      </c>
    </row>
    <row r="346" spans="1:7" x14ac:dyDescent="0.3">
      <c r="A346" t="s">
        <v>357</v>
      </c>
      <c r="B346" t="s">
        <v>602</v>
      </c>
      <c r="C346">
        <v>28</v>
      </c>
      <c r="D346" t="s">
        <v>903</v>
      </c>
      <c r="E346">
        <v>2</v>
      </c>
      <c r="F346" t="str">
        <f>VLOOKUP(D346, Lookup_Table!$A$2:$B$10, 2, FALSE)</f>
        <v>Dr. Mishra</v>
      </c>
      <c r="G346" t="str">
        <f t="shared" si="5"/>
        <v>Adult</v>
      </c>
    </row>
    <row r="347" spans="1:7" x14ac:dyDescent="0.3">
      <c r="A347" t="s">
        <v>358</v>
      </c>
      <c r="B347" t="s">
        <v>717</v>
      </c>
      <c r="C347">
        <v>84</v>
      </c>
      <c r="D347" t="s">
        <v>909</v>
      </c>
      <c r="E347">
        <v>1</v>
      </c>
      <c r="F347" t="str">
        <f>VLOOKUP(D347, Lookup_Table!$A$2:$B$10, 2, FALSE)</f>
        <v>Dr. Tiwari</v>
      </c>
      <c r="G347" t="str">
        <f t="shared" si="5"/>
        <v>Senior</v>
      </c>
    </row>
    <row r="348" spans="1:7" x14ac:dyDescent="0.3">
      <c r="A348" t="s">
        <v>359</v>
      </c>
      <c r="B348" t="s">
        <v>790</v>
      </c>
      <c r="C348">
        <v>2</v>
      </c>
      <c r="D348" t="s">
        <v>901</v>
      </c>
      <c r="E348">
        <v>1</v>
      </c>
      <c r="F348" t="str">
        <f>VLOOKUP(D348, Lookup_Table!$A$2:$B$10, 2, FALSE)</f>
        <v>Dr. Kapoor</v>
      </c>
      <c r="G348" t="str">
        <f t="shared" si="5"/>
        <v>Child</v>
      </c>
    </row>
    <row r="349" spans="1:7" x14ac:dyDescent="0.3">
      <c r="A349" t="s">
        <v>360</v>
      </c>
      <c r="B349" t="s">
        <v>685</v>
      </c>
      <c r="C349">
        <v>62</v>
      </c>
      <c r="D349" t="s">
        <v>906</v>
      </c>
      <c r="E349">
        <v>2</v>
      </c>
      <c r="F349" t="str">
        <f>VLOOKUP(D349, Lookup_Table!$A$2:$B$10, 2, FALSE)</f>
        <v>Dr. Menon</v>
      </c>
      <c r="G349" t="str">
        <f t="shared" si="5"/>
        <v>Senior</v>
      </c>
    </row>
    <row r="350" spans="1:7" x14ac:dyDescent="0.3">
      <c r="A350" t="s">
        <v>361</v>
      </c>
      <c r="B350" t="s">
        <v>791</v>
      </c>
      <c r="C350">
        <v>35</v>
      </c>
      <c r="D350" t="s">
        <v>904</v>
      </c>
      <c r="E350">
        <v>2</v>
      </c>
      <c r="F350" t="str">
        <f>VLOOKUP(D350, Lookup_Table!$A$2:$B$10, 2, FALSE)</f>
        <v>Dr. Deshmukh</v>
      </c>
      <c r="G350" t="str">
        <f t="shared" si="5"/>
        <v>Adult</v>
      </c>
    </row>
    <row r="351" spans="1:7" x14ac:dyDescent="0.3">
      <c r="A351" t="s">
        <v>362</v>
      </c>
      <c r="B351" t="s">
        <v>792</v>
      </c>
      <c r="C351">
        <v>76</v>
      </c>
      <c r="D351" t="s">
        <v>909</v>
      </c>
      <c r="E351">
        <v>2</v>
      </c>
      <c r="F351" t="str">
        <f>VLOOKUP(D351, Lookup_Table!$A$2:$B$10, 2, FALSE)</f>
        <v>Dr. Tiwari</v>
      </c>
      <c r="G351" t="str">
        <f t="shared" si="5"/>
        <v>Senior</v>
      </c>
    </row>
    <row r="352" spans="1:7" x14ac:dyDescent="0.3">
      <c r="A352" t="s">
        <v>363</v>
      </c>
      <c r="B352" t="s">
        <v>793</v>
      </c>
      <c r="C352">
        <v>35</v>
      </c>
      <c r="D352" t="s">
        <v>904</v>
      </c>
      <c r="E352">
        <v>1</v>
      </c>
      <c r="F352" t="str">
        <f>VLOOKUP(D352, Lookup_Table!$A$2:$B$10, 2, FALSE)</f>
        <v>Dr. Deshmukh</v>
      </c>
      <c r="G352" t="str">
        <f t="shared" si="5"/>
        <v>Adult</v>
      </c>
    </row>
    <row r="353" spans="1:7" x14ac:dyDescent="0.3">
      <c r="A353" t="s">
        <v>364</v>
      </c>
      <c r="B353" t="s">
        <v>672</v>
      </c>
      <c r="C353">
        <v>57</v>
      </c>
      <c r="D353" t="s">
        <v>908</v>
      </c>
      <c r="E353">
        <v>2</v>
      </c>
      <c r="F353" t="str">
        <f>VLOOKUP(D353, Lookup_Table!$A$2:$B$10, 2, FALSE)</f>
        <v>Dr. Rao</v>
      </c>
      <c r="G353" t="str">
        <f t="shared" si="5"/>
        <v>Adult</v>
      </c>
    </row>
    <row r="354" spans="1:7" x14ac:dyDescent="0.3">
      <c r="A354" t="s">
        <v>365</v>
      </c>
      <c r="B354" t="s">
        <v>794</v>
      </c>
      <c r="C354">
        <v>11</v>
      </c>
      <c r="D354" t="s">
        <v>901</v>
      </c>
      <c r="E354">
        <v>2</v>
      </c>
      <c r="F354" t="str">
        <f>VLOOKUP(D354, Lookup_Table!$A$2:$B$10, 2, FALSE)</f>
        <v>Dr. Kapoor</v>
      </c>
      <c r="G354" t="str">
        <f t="shared" si="5"/>
        <v>Child</v>
      </c>
    </row>
    <row r="355" spans="1:7" x14ac:dyDescent="0.3">
      <c r="A355" t="s">
        <v>366</v>
      </c>
      <c r="B355" t="s">
        <v>558</v>
      </c>
      <c r="C355">
        <v>81</v>
      </c>
      <c r="D355" t="s">
        <v>909</v>
      </c>
      <c r="E355">
        <v>1</v>
      </c>
      <c r="F355" t="str">
        <f>VLOOKUP(D355, Lookup_Table!$A$2:$B$10, 2, FALSE)</f>
        <v>Dr. Tiwari</v>
      </c>
      <c r="G355" t="str">
        <f t="shared" si="5"/>
        <v>Senior</v>
      </c>
    </row>
    <row r="356" spans="1:7" x14ac:dyDescent="0.3">
      <c r="A356" t="s">
        <v>367</v>
      </c>
      <c r="B356" t="s">
        <v>795</v>
      </c>
      <c r="C356">
        <v>19</v>
      </c>
      <c r="D356" t="s">
        <v>904</v>
      </c>
      <c r="E356">
        <v>5</v>
      </c>
      <c r="F356" t="str">
        <f>VLOOKUP(D356, Lookup_Table!$A$2:$B$10, 2, FALSE)</f>
        <v>Dr. Deshmukh</v>
      </c>
      <c r="G356" t="str">
        <f t="shared" si="5"/>
        <v>Adult</v>
      </c>
    </row>
    <row r="357" spans="1:7" x14ac:dyDescent="0.3">
      <c r="A357" t="s">
        <v>368</v>
      </c>
      <c r="B357" t="s">
        <v>796</v>
      </c>
      <c r="C357">
        <v>68</v>
      </c>
      <c r="D357" t="s">
        <v>902</v>
      </c>
      <c r="E357">
        <v>5</v>
      </c>
      <c r="F357" t="str">
        <f>VLOOKUP(D357, Lookup_Table!$A$2:$B$10, 2, FALSE)</f>
        <v>Dr. Sharma</v>
      </c>
      <c r="G357" t="str">
        <f t="shared" si="5"/>
        <v>Senior</v>
      </c>
    </row>
    <row r="358" spans="1:7" x14ac:dyDescent="0.3">
      <c r="A358" t="s">
        <v>369</v>
      </c>
      <c r="B358" t="s">
        <v>797</v>
      </c>
      <c r="C358">
        <v>61</v>
      </c>
      <c r="D358" t="s">
        <v>907</v>
      </c>
      <c r="E358">
        <v>1</v>
      </c>
      <c r="F358" t="str">
        <f>VLOOKUP(D358, Lookup_Table!$A$2:$B$10, 2, FALSE)</f>
        <v>Dr. Chatterjee</v>
      </c>
      <c r="G358" t="str">
        <f t="shared" si="5"/>
        <v>Senior</v>
      </c>
    </row>
    <row r="359" spans="1:7" x14ac:dyDescent="0.3">
      <c r="A359" t="s">
        <v>370</v>
      </c>
      <c r="B359" t="s">
        <v>536</v>
      </c>
      <c r="C359">
        <v>73</v>
      </c>
      <c r="D359" t="s">
        <v>905</v>
      </c>
      <c r="E359">
        <v>1</v>
      </c>
      <c r="F359" t="str">
        <f>VLOOKUP(D359, Lookup_Table!$A$2:$B$10, 2, FALSE)</f>
        <v>Dr. Gupta</v>
      </c>
      <c r="G359" t="str">
        <f t="shared" si="5"/>
        <v>Senior</v>
      </c>
    </row>
    <row r="360" spans="1:7" x14ac:dyDescent="0.3">
      <c r="A360" t="s">
        <v>371</v>
      </c>
      <c r="B360" t="s">
        <v>687</v>
      </c>
      <c r="C360">
        <v>58</v>
      </c>
      <c r="D360" t="s">
        <v>906</v>
      </c>
      <c r="E360">
        <v>5</v>
      </c>
      <c r="F360" t="str">
        <f>VLOOKUP(D360, Lookup_Table!$A$2:$B$10, 2, FALSE)</f>
        <v>Dr. Menon</v>
      </c>
      <c r="G360" t="str">
        <f t="shared" si="5"/>
        <v>Adult</v>
      </c>
    </row>
    <row r="361" spans="1:7" x14ac:dyDescent="0.3">
      <c r="A361" t="s">
        <v>372</v>
      </c>
      <c r="B361" t="s">
        <v>798</v>
      </c>
      <c r="C361">
        <v>60</v>
      </c>
      <c r="D361" t="s">
        <v>909</v>
      </c>
      <c r="E361">
        <v>1</v>
      </c>
      <c r="F361" t="str">
        <f>VLOOKUP(D361, Lookup_Table!$A$2:$B$10, 2, FALSE)</f>
        <v>Dr. Tiwari</v>
      </c>
      <c r="G361" t="str">
        <f t="shared" si="5"/>
        <v>Senior</v>
      </c>
    </row>
    <row r="362" spans="1:7" x14ac:dyDescent="0.3">
      <c r="A362" t="s">
        <v>373</v>
      </c>
      <c r="B362" t="s">
        <v>799</v>
      </c>
      <c r="C362">
        <v>63</v>
      </c>
      <c r="D362" t="s">
        <v>906</v>
      </c>
      <c r="E362">
        <v>4</v>
      </c>
      <c r="F362" t="str">
        <f>VLOOKUP(D362, Lookup_Table!$A$2:$B$10, 2, FALSE)</f>
        <v>Dr. Menon</v>
      </c>
      <c r="G362" t="str">
        <f t="shared" si="5"/>
        <v>Senior</v>
      </c>
    </row>
    <row r="363" spans="1:7" x14ac:dyDescent="0.3">
      <c r="A363" t="s">
        <v>374</v>
      </c>
      <c r="B363" t="s">
        <v>800</v>
      </c>
      <c r="C363">
        <v>70</v>
      </c>
      <c r="D363" t="s">
        <v>908</v>
      </c>
      <c r="E363">
        <v>16</v>
      </c>
      <c r="F363" t="str">
        <f>VLOOKUP(D363, Lookup_Table!$A$2:$B$10, 2, FALSE)</f>
        <v>Dr. Rao</v>
      </c>
      <c r="G363" t="str">
        <f t="shared" si="5"/>
        <v>Senior</v>
      </c>
    </row>
    <row r="364" spans="1:7" x14ac:dyDescent="0.3">
      <c r="A364" t="s">
        <v>375</v>
      </c>
      <c r="B364" t="s">
        <v>801</v>
      </c>
      <c r="C364">
        <v>42</v>
      </c>
      <c r="D364" t="s">
        <v>904</v>
      </c>
      <c r="E364">
        <v>2</v>
      </c>
      <c r="F364" t="str">
        <f>VLOOKUP(D364, Lookup_Table!$A$2:$B$10, 2, FALSE)</f>
        <v>Dr. Deshmukh</v>
      </c>
      <c r="G364" t="str">
        <f t="shared" si="5"/>
        <v>Adult</v>
      </c>
    </row>
    <row r="365" spans="1:7" x14ac:dyDescent="0.3">
      <c r="A365" t="s">
        <v>376</v>
      </c>
      <c r="B365" t="s">
        <v>802</v>
      </c>
      <c r="C365">
        <v>39</v>
      </c>
      <c r="D365" t="s">
        <v>903</v>
      </c>
      <c r="E365">
        <v>1</v>
      </c>
      <c r="F365" t="str">
        <f>VLOOKUP(D365, Lookup_Table!$A$2:$B$10, 2, FALSE)</f>
        <v>Dr. Mishra</v>
      </c>
      <c r="G365" t="str">
        <f t="shared" si="5"/>
        <v>Adult</v>
      </c>
    </row>
    <row r="366" spans="1:7" x14ac:dyDescent="0.3">
      <c r="A366" t="s">
        <v>377</v>
      </c>
      <c r="B366" t="s">
        <v>803</v>
      </c>
      <c r="C366">
        <v>37</v>
      </c>
      <c r="D366" t="s">
        <v>905</v>
      </c>
      <c r="E366">
        <v>7</v>
      </c>
      <c r="F366" t="str">
        <f>VLOOKUP(D366, Lookup_Table!$A$2:$B$10, 2, FALSE)</f>
        <v>Dr. Gupta</v>
      </c>
      <c r="G366" t="str">
        <f t="shared" si="5"/>
        <v>Adult</v>
      </c>
    </row>
    <row r="367" spans="1:7" x14ac:dyDescent="0.3">
      <c r="A367" t="s">
        <v>378</v>
      </c>
      <c r="B367" t="s">
        <v>755</v>
      </c>
      <c r="C367">
        <v>63</v>
      </c>
      <c r="D367" t="s">
        <v>907</v>
      </c>
      <c r="E367">
        <v>6</v>
      </c>
      <c r="F367" t="str">
        <f>VLOOKUP(D367, Lookup_Table!$A$2:$B$10, 2, FALSE)</f>
        <v>Dr. Chatterjee</v>
      </c>
      <c r="G367" t="str">
        <f t="shared" si="5"/>
        <v>Senior</v>
      </c>
    </row>
    <row r="368" spans="1:7" x14ac:dyDescent="0.3">
      <c r="A368" t="s">
        <v>379</v>
      </c>
      <c r="B368" t="s">
        <v>804</v>
      </c>
      <c r="C368">
        <v>85</v>
      </c>
      <c r="D368" t="s">
        <v>909</v>
      </c>
      <c r="E368">
        <v>1</v>
      </c>
      <c r="F368" t="str">
        <f>VLOOKUP(D368, Lookup_Table!$A$2:$B$10, 2, FALSE)</f>
        <v>Dr. Tiwari</v>
      </c>
      <c r="G368" t="str">
        <f t="shared" si="5"/>
        <v>Senior</v>
      </c>
    </row>
    <row r="369" spans="1:7" x14ac:dyDescent="0.3">
      <c r="A369" t="s">
        <v>380</v>
      </c>
      <c r="B369" t="s">
        <v>745</v>
      </c>
      <c r="C369">
        <v>30</v>
      </c>
      <c r="D369" t="s">
        <v>908</v>
      </c>
      <c r="E369">
        <v>17</v>
      </c>
      <c r="F369" t="str">
        <f>VLOOKUP(D369, Lookup_Table!$A$2:$B$10, 2, FALSE)</f>
        <v>Dr. Rao</v>
      </c>
      <c r="G369" t="str">
        <f t="shared" si="5"/>
        <v>Adult</v>
      </c>
    </row>
    <row r="370" spans="1:7" x14ac:dyDescent="0.3">
      <c r="A370" t="s">
        <v>381</v>
      </c>
      <c r="B370" t="s">
        <v>805</v>
      </c>
      <c r="C370">
        <v>25</v>
      </c>
      <c r="D370" t="s">
        <v>904</v>
      </c>
      <c r="E370">
        <v>1</v>
      </c>
      <c r="F370" t="str">
        <f>VLOOKUP(D370, Lookup_Table!$A$2:$B$10, 2, FALSE)</f>
        <v>Dr. Deshmukh</v>
      </c>
      <c r="G370" t="str">
        <f t="shared" si="5"/>
        <v>Adult</v>
      </c>
    </row>
    <row r="371" spans="1:7" x14ac:dyDescent="0.3">
      <c r="A371" t="s">
        <v>382</v>
      </c>
      <c r="B371" t="s">
        <v>763</v>
      </c>
      <c r="C371">
        <v>48</v>
      </c>
      <c r="D371" t="s">
        <v>903</v>
      </c>
      <c r="E371">
        <v>12</v>
      </c>
      <c r="F371" t="str">
        <f>VLOOKUP(D371, Lookup_Table!$A$2:$B$10, 2, FALSE)</f>
        <v>Dr. Mishra</v>
      </c>
      <c r="G371" t="str">
        <f t="shared" si="5"/>
        <v>Adult</v>
      </c>
    </row>
    <row r="372" spans="1:7" x14ac:dyDescent="0.3">
      <c r="A372" t="s">
        <v>383</v>
      </c>
      <c r="B372" t="s">
        <v>806</v>
      </c>
      <c r="C372">
        <v>55</v>
      </c>
      <c r="D372" t="s">
        <v>905</v>
      </c>
      <c r="E372">
        <v>16</v>
      </c>
      <c r="F372" t="str">
        <f>VLOOKUP(D372, Lookup_Table!$A$2:$B$10, 2, FALSE)</f>
        <v>Dr. Gupta</v>
      </c>
      <c r="G372" t="str">
        <f t="shared" si="5"/>
        <v>Adult</v>
      </c>
    </row>
    <row r="373" spans="1:7" x14ac:dyDescent="0.3">
      <c r="A373" t="s">
        <v>384</v>
      </c>
      <c r="B373" t="s">
        <v>807</v>
      </c>
      <c r="C373">
        <v>52</v>
      </c>
      <c r="D373" t="s">
        <v>908</v>
      </c>
      <c r="E373">
        <v>1</v>
      </c>
      <c r="F373" t="str">
        <f>VLOOKUP(D373, Lookup_Table!$A$2:$B$10, 2, FALSE)</f>
        <v>Dr. Rao</v>
      </c>
      <c r="G373" t="str">
        <f t="shared" si="5"/>
        <v>Adult</v>
      </c>
    </row>
    <row r="374" spans="1:7" x14ac:dyDescent="0.3">
      <c r="A374" t="s">
        <v>385</v>
      </c>
      <c r="B374" t="s">
        <v>643</v>
      </c>
      <c r="C374">
        <v>77</v>
      </c>
      <c r="D374" t="s">
        <v>907</v>
      </c>
      <c r="E374">
        <v>1</v>
      </c>
      <c r="F374" t="str">
        <f>VLOOKUP(D374, Lookup_Table!$A$2:$B$10, 2, FALSE)</f>
        <v>Dr. Chatterjee</v>
      </c>
      <c r="G374" t="str">
        <f t="shared" si="5"/>
        <v>Senior</v>
      </c>
    </row>
    <row r="375" spans="1:7" x14ac:dyDescent="0.3">
      <c r="A375" t="s">
        <v>386</v>
      </c>
      <c r="B375" t="s">
        <v>808</v>
      </c>
      <c r="C375">
        <v>33</v>
      </c>
      <c r="D375" t="s">
        <v>903</v>
      </c>
      <c r="E375">
        <v>1</v>
      </c>
      <c r="F375" t="str">
        <f>VLOOKUP(D375, Lookup_Table!$A$2:$B$10, 2, FALSE)</f>
        <v>Dr. Mishra</v>
      </c>
      <c r="G375" t="str">
        <f t="shared" si="5"/>
        <v>Adult</v>
      </c>
    </row>
    <row r="376" spans="1:7" x14ac:dyDescent="0.3">
      <c r="A376" t="s">
        <v>387</v>
      </c>
      <c r="B376" t="s">
        <v>809</v>
      </c>
      <c r="C376">
        <v>59</v>
      </c>
      <c r="D376" t="s">
        <v>909</v>
      </c>
      <c r="E376">
        <v>1</v>
      </c>
      <c r="F376" t="str">
        <f>VLOOKUP(D376, Lookup_Table!$A$2:$B$10, 2, FALSE)</f>
        <v>Dr. Tiwari</v>
      </c>
      <c r="G376" t="str">
        <f t="shared" si="5"/>
        <v>Adult</v>
      </c>
    </row>
    <row r="377" spans="1:7" x14ac:dyDescent="0.3">
      <c r="A377" t="s">
        <v>388</v>
      </c>
      <c r="B377" t="s">
        <v>810</v>
      </c>
      <c r="C377">
        <v>0</v>
      </c>
      <c r="D377" t="s">
        <v>901</v>
      </c>
      <c r="E377">
        <v>1</v>
      </c>
      <c r="F377" t="str">
        <f>VLOOKUP(D377, Lookup_Table!$A$2:$B$10, 2, FALSE)</f>
        <v>Dr. Kapoor</v>
      </c>
      <c r="G377" t="str">
        <f t="shared" si="5"/>
        <v>Child</v>
      </c>
    </row>
    <row r="378" spans="1:7" x14ac:dyDescent="0.3">
      <c r="A378" t="s">
        <v>389</v>
      </c>
      <c r="B378" t="s">
        <v>811</v>
      </c>
      <c r="C378">
        <v>45</v>
      </c>
      <c r="D378" t="s">
        <v>907</v>
      </c>
      <c r="E378">
        <v>11</v>
      </c>
      <c r="F378" t="str">
        <f>VLOOKUP(D378, Lookup_Table!$A$2:$B$10, 2, FALSE)</f>
        <v>Dr. Chatterjee</v>
      </c>
      <c r="G378" t="str">
        <f t="shared" si="5"/>
        <v>Adult</v>
      </c>
    </row>
    <row r="379" spans="1:7" x14ac:dyDescent="0.3">
      <c r="A379" t="s">
        <v>390</v>
      </c>
      <c r="B379" t="s">
        <v>812</v>
      </c>
      <c r="C379">
        <v>11</v>
      </c>
      <c r="D379" t="s">
        <v>901</v>
      </c>
      <c r="E379">
        <v>1</v>
      </c>
      <c r="F379" t="str">
        <f>VLOOKUP(D379, Lookup_Table!$A$2:$B$10, 2, FALSE)</f>
        <v>Dr. Kapoor</v>
      </c>
      <c r="G379" t="str">
        <f t="shared" si="5"/>
        <v>Child</v>
      </c>
    </row>
    <row r="380" spans="1:7" x14ac:dyDescent="0.3">
      <c r="A380" t="s">
        <v>391</v>
      </c>
      <c r="B380" t="s">
        <v>813</v>
      </c>
      <c r="C380">
        <v>80</v>
      </c>
      <c r="D380" t="s">
        <v>906</v>
      </c>
      <c r="E380">
        <v>1</v>
      </c>
      <c r="F380" t="str">
        <f>VLOOKUP(D380, Lookup_Table!$A$2:$B$10, 2, FALSE)</f>
        <v>Dr. Menon</v>
      </c>
      <c r="G380" t="str">
        <f t="shared" si="5"/>
        <v>Senior</v>
      </c>
    </row>
    <row r="381" spans="1:7" x14ac:dyDescent="0.3">
      <c r="A381" t="s">
        <v>392</v>
      </c>
      <c r="B381" t="s">
        <v>814</v>
      </c>
      <c r="C381">
        <v>78</v>
      </c>
      <c r="D381" t="s">
        <v>908</v>
      </c>
      <c r="E381">
        <v>11</v>
      </c>
      <c r="F381" t="str">
        <f>VLOOKUP(D381, Lookup_Table!$A$2:$B$10, 2, FALSE)</f>
        <v>Dr. Rao</v>
      </c>
      <c r="G381" t="str">
        <f t="shared" si="5"/>
        <v>Senior</v>
      </c>
    </row>
    <row r="382" spans="1:7" x14ac:dyDescent="0.3">
      <c r="A382" t="s">
        <v>393</v>
      </c>
      <c r="B382" t="s">
        <v>815</v>
      </c>
      <c r="C382">
        <v>2</v>
      </c>
      <c r="D382" t="s">
        <v>901</v>
      </c>
      <c r="E382">
        <v>1</v>
      </c>
      <c r="F382" t="str">
        <f>VLOOKUP(D382, Lookup_Table!$A$2:$B$10, 2, FALSE)</f>
        <v>Dr. Kapoor</v>
      </c>
      <c r="G382" t="str">
        <f t="shared" si="5"/>
        <v>Child</v>
      </c>
    </row>
    <row r="383" spans="1:7" x14ac:dyDescent="0.3">
      <c r="A383" t="s">
        <v>394</v>
      </c>
      <c r="B383" t="s">
        <v>774</v>
      </c>
      <c r="C383">
        <v>55</v>
      </c>
      <c r="D383" t="s">
        <v>907</v>
      </c>
      <c r="E383">
        <v>16</v>
      </c>
      <c r="F383" t="str">
        <f>VLOOKUP(D383, Lookup_Table!$A$2:$B$10, 2, FALSE)</f>
        <v>Dr. Chatterjee</v>
      </c>
      <c r="G383" t="str">
        <f t="shared" si="5"/>
        <v>Adult</v>
      </c>
    </row>
    <row r="384" spans="1:7" x14ac:dyDescent="0.3">
      <c r="A384" t="s">
        <v>395</v>
      </c>
      <c r="B384" t="s">
        <v>673</v>
      </c>
      <c r="C384">
        <v>67</v>
      </c>
      <c r="D384" t="s">
        <v>905</v>
      </c>
      <c r="E384">
        <v>2</v>
      </c>
      <c r="F384" t="str">
        <f>VLOOKUP(D384, Lookup_Table!$A$2:$B$10, 2, FALSE)</f>
        <v>Dr. Gupta</v>
      </c>
      <c r="G384" t="str">
        <f t="shared" si="5"/>
        <v>Senior</v>
      </c>
    </row>
    <row r="385" spans="1:7" x14ac:dyDescent="0.3">
      <c r="A385" t="s">
        <v>396</v>
      </c>
      <c r="B385" t="s">
        <v>816</v>
      </c>
      <c r="C385">
        <v>25</v>
      </c>
      <c r="D385" t="s">
        <v>909</v>
      </c>
      <c r="E385">
        <v>1</v>
      </c>
      <c r="F385" t="str">
        <f>VLOOKUP(D385, Lookup_Table!$A$2:$B$10, 2, FALSE)</f>
        <v>Dr. Tiwari</v>
      </c>
      <c r="G385" t="str">
        <f t="shared" si="5"/>
        <v>Adult</v>
      </c>
    </row>
    <row r="386" spans="1:7" x14ac:dyDescent="0.3">
      <c r="A386" t="s">
        <v>397</v>
      </c>
      <c r="B386" t="s">
        <v>550</v>
      </c>
      <c r="C386">
        <v>30</v>
      </c>
      <c r="D386" t="s">
        <v>905</v>
      </c>
      <c r="E386">
        <v>8</v>
      </c>
      <c r="F386" t="str">
        <f>VLOOKUP(D386, Lookup_Table!$A$2:$B$10, 2, FALSE)</f>
        <v>Dr. Gupta</v>
      </c>
      <c r="G386" t="str">
        <f t="shared" si="5"/>
        <v>Adult</v>
      </c>
    </row>
    <row r="387" spans="1:7" x14ac:dyDescent="0.3">
      <c r="A387" t="s">
        <v>398</v>
      </c>
      <c r="B387" t="s">
        <v>817</v>
      </c>
      <c r="C387">
        <v>36</v>
      </c>
      <c r="D387" t="s">
        <v>904</v>
      </c>
      <c r="E387">
        <v>2</v>
      </c>
      <c r="F387" t="str">
        <f>VLOOKUP(D387, Lookup_Table!$A$2:$B$10, 2, FALSE)</f>
        <v>Dr. Deshmukh</v>
      </c>
      <c r="G387" t="str">
        <f t="shared" si="5"/>
        <v>Adult</v>
      </c>
    </row>
    <row r="388" spans="1:7" x14ac:dyDescent="0.3">
      <c r="A388" t="s">
        <v>399</v>
      </c>
      <c r="B388" t="s">
        <v>818</v>
      </c>
      <c r="C388">
        <v>38</v>
      </c>
      <c r="D388" t="s">
        <v>906</v>
      </c>
      <c r="E388">
        <v>10</v>
      </c>
      <c r="F388" t="str">
        <f>VLOOKUP(D388, Lookup_Table!$A$2:$B$10, 2, FALSE)</f>
        <v>Dr. Menon</v>
      </c>
      <c r="G388" t="str">
        <f t="shared" si="5"/>
        <v>Adult</v>
      </c>
    </row>
    <row r="389" spans="1:7" x14ac:dyDescent="0.3">
      <c r="A389" t="s">
        <v>400</v>
      </c>
      <c r="B389" t="s">
        <v>819</v>
      </c>
      <c r="C389">
        <v>67</v>
      </c>
      <c r="D389" t="s">
        <v>907</v>
      </c>
      <c r="E389">
        <v>13</v>
      </c>
      <c r="F389" t="str">
        <f>VLOOKUP(D389, Lookup_Table!$A$2:$B$10, 2, FALSE)</f>
        <v>Dr. Chatterjee</v>
      </c>
      <c r="G389" t="str">
        <f t="shared" ref="G389:G452" si="6">IF(C389&lt;18,"Child", IF(C389&lt;60,"Adult","Senior"))</f>
        <v>Senior</v>
      </c>
    </row>
    <row r="390" spans="1:7" x14ac:dyDescent="0.3">
      <c r="A390" t="s">
        <v>401</v>
      </c>
      <c r="B390" t="s">
        <v>820</v>
      </c>
      <c r="C390">
        <v>84</v>
      </c>
      <c r="D390" t="s">
        <v>903</v>
      </c>
      <c r="E390">
        <v>6</v>
      </c>
      <c r="F390" t="str">
        <f>VLOOKUP(D390, Lookup_Table!$A$2:$B$10, 2, FALSE)</f>
        <v>Dr. Mishra</v>
      </c>
      <c r="G390" t="str">
        <f t="shared" si="6"/>
        <v>Senior</v>
      </c>
    </row>
    <row r="391" spans="1:7" x14ac:dyDescent="0.3">
      <c r="A391" t="s">
        <v>402</v>
      </c>
      <c r="B391" t="s">
        <v>701</v>
      </c>
      <c r="C391">
        <v>37</v>
      </c>
      <c r="D391" t="s">
        <v>906</v>
      </c>
      <c r="E391">
        <v>1</v>
      </c>
      <c r="F391" t="str">
        <f>VLOOKUP(D391, Lookup_Table!$A$2:$B$10, 2, FALSE)</f>
        <v>Dr. Menon</v>
      </c>
      <c r="G391" t="str">
        <f t="shared" si="6"/>
        <v>Adult</v>
      </c>
    </row>
    <row r="392" spans="1:7" x14ac:dyDescent="0.3">
      <c r="A392" t="s">
        <v>403</v>
      </c>
      <c r="B392" t="s">
        <v>821</v>
      </c>
      <c r="C392">
        <v>45</v>
      </c>
      <c r="D392" t="s">
        <v>903</v>
      </c>
      <c r="E392">
        <v>1</v>
      </c>
      <c r="F392" t="str">
        <f>VLOOKUP(D392, Lookup_Table!$A$2:$B$10, 2, FALSE)</f>
        <v>Dr. Mishra</v>
      </c>
      <c r="G392" t="str">
        <f t="shared" si="6"/>
        <v>Adult</v>
      </c>
    </row>
    <row r="393" spans="1:7" x14ac:dyDescent="0.3">
      <c r="A393" t="s">
        <v>404</v>
      </c>
      <c r="B393" t="s">
        <v>774</v>
      </c>
      <c r="C393">
        <v>40</v>
      </c>
      <c r="D393" t="s">
        <v>902</v>
      </c>
      <c r="E393">
        <v>6</v>
      </c>
      <c r="F393" t="str">
        <f>VLOOKUP(D393, Lookup_Table!$A$2:$B$10, 2, FALSE)</f>
        <v>Dr. Sharma</v>
      </c>
      <c r="G393" t="str">
        <f t="shared" si="6"/>
        <v>Adult</v>
      </c>
    </row>
    <row r="394" spans="1:7" x14ac:dyDescent="0.3">
      <c r="A394" t="s">
        <v>405</v>
      </c>
      <c r="B394" t="s">
        <v>822</v>
      </c>
      <c r="C394">
        <v>34</v>
      </c>
      <c r="D394" t="s">
        <v>904</v>
      </c>
      <c r="E394">
        <v>4</v>
      </c>
      <c r="F394" t="str">
        <f>VLOOKUP(D394, Lookup_Table!$A$2:$B$10, 2, FALSE)</f>
        <v>Dr. Deshmukh</v>
      </c>
      <c r="G394" t="str">
        <f t="shared" si="6"/>
        <v>Adult</v>
      </c>
    </row>
    <row r="395" spans="1:7" x14ac:dyDescent="0.3">
      <c r="A395" t="s">
        <v>406</v>
      </c>
      <c r="B395" t="s">
        <v>823</v>
      </c>
      <c r="C395">
        <v>73</v>
      </c>
      <c r="D395" t="s">
        <v>906</v>
      </c>
      <c r="E395">
        <v>23</v>
      </c>
      <c r="F395" t="str">
        <f>VLOOKUP(D395, Lookup_Table!$A$2:$B$10, 2, FALSE)</f>
        <v>Dr. Menon</v>
      </c>
      <c r="G395" t="str">
        <f t="shared" si="6"/>
        <v>Senior</v>
      </c>
    </row>
    <row r="396" spans="1:7" x14ac:dyDescent="0.3">
      <c r="A396" t="s">
        <v>407</v>
      </c>
      <c r="B396" t="s">
        <v>824</v>
      </c>
      <c r="C396">
        <v>42</v>
      </c>
      <c r="D396" t="s">
        <v>904</v>
      </c>
      <c r="E396">
        <v>1</v>
      </c>
      <c r="F396" t="str">
        <f>VLOOKUP(D396, Lookup_Table!$A$2:$B$10, 2, FALSE)</f>
        <v>Dr. Deshmukh</v>
      </c>
      <c r="G396" t="str">
        <f t="shared" si="6"/>
        <v>Adult</v>
      </c>
    </row>
    <row r="397" spans="1:7" x14ac:dyDescent="0.3">
      <c r="A397" t="s">
        <v>408</v>
      </c>
      <c r="B397" t="s">
        <v>825</v>
      </c>
      <c r="C397">
        <v>27</v>
      </c>
      <c r="D397" t="s">
        <v>906</v>
      </c>
      <c r="E397">
        <v>2</v>
      </c>
      <c r="F397" t="str">
        <f>VLOOKUP(D397, Lookup_Table!$A$2:$B$10, 2, FALSE)</f>
        <v>Dr. Menon</v>
      </c>
      <c r="G397" t="str">
        <f t="shared" si="6"/>
        <v>Adult</v>
      </c>
    </row>
    <row r="398" spans="1:7" x14ac:dyDescent="0.3">
      <c r="A398" t="s">
        <v>409</v>
      </c>
      <c r="B398" t="s">
        <v>826</v>
      </c>
      <c r="C398">
        <v>71</v>
      </c>
      <c r="D398" t="s">
        <v>907</v>
      </c>
      <c r="E398">
        <v>14</v>
      </c>
      <c r="F398" t="str">
        <f>VLOOKUP(D398, Lookup_Table!$A$2:$B$10, 2, FALSE)</f>
        <v>Dr. Chatterjee</v>
      </c>
      <c r="G398" t="str">
        <f t="shared" si="6"/>
        <v>Senior</v>
      </c>
    </row>
    <row r="399" spans="1:7" x14ac:dyDescent="0.3">
      <c r="A399" t="s">
        <v>410</v>
      </c>
      <c r="B399" t="s">
        <v>827</v>
      </c>
      <c r="C399">
        <v>75</v>
      </c>
      <c r="D399" t="s">
        <v>908</v>
      </c>
      <c r="E399">
        <v>2</v>
      </c>
      <c r="F399" t="str">
        <f>VLOOKUP(D399, Lookup_Table!$A$2:$B$10, 2, FALSE)</f>
        <v>Dr. Rao</v>
      </c>
      <c r="G399" t="str">
        <f t="shared" si="6"/>
        <v>Senior</v>
      </c>
    </row>
    <row r="400" spans="1:7" x14ac:dyDescent="0.3">
      <c r="A400" t="s">
        <v>411</v>
      </c>
      <c r="B400" t="s">
        <v>589</v>
      </c>
      <c r="C400">
        <v>44</v>
      </c>
      <c r="D400" t="s">
        <v>909</v>
      </c>
      <c r="E400">
        <v>5</v>
      </c>
      <c r="F400" t="str">
        <f>VLOOKUP(D400, Lookup_Table!$A$2:$B$10, 2, FALSE)</f>
        <v>Dr. Tiwari</v>
      </c>
      <c r="G400" t="str">
        <f t="shared" si="6"/>
        <v>Adult</v>
      </c>
    </row>
    <row r="401" spans="1:7" x14ac:dyDescent="0.3">
      <c r="A401" t="s">
        <v>412</v>
      </c>
      <c r="B401" t="s">
        <v>725</v>
      </c>
      <c r="C401">
        <v>39</v>
      </c>
      <c r="D401" t="s">
        <v>906</v>
      </c>
      <c r="E401">
        <v>9</v>
      </c>
      <c r="F401" t="str">
        <f>VLOOKUP(D401, Lookup_Table!$A$2:$B$10, 2, FALSE)</f>
        <v>Dr. Menon</v>
      </c>
      <c r="G401" t="str">
        <f t="shared" si="6"/>
        <v>Adult</v>
      </c>
    </row>
    <row r="402" spans="1:7" x14ac:dyDescent="0.3">
      <c r="A402" t="s">
        <v>413</v>
      </c>
      <c r="B402" t="s">
        <v>828</v>
      </c>
      <c r="C402">
        <v>20</v>
      </c>
      <c r="D402" t="s">
        <v>903</v>
      </c>
      <c r="E402">
        <v>2</v>
      </c>
      <c r="F402" t="str">
        <f>VLOOKUP(D402, Lookup_Table!$A$2:$B$10, 2, FALSE)</f>
        <v>Dr. Mishra</v>
      </c>
      <c r="G402" t="str">
        <f t="shared" si="6"/>
        <v>Adult</v>
      </c>
    </row>
    <row r="403" spans="1:7" x14ac:dyDescent="0.3">
      <c r="A403" t="s">
        <v>414</v>
      </c>
      <c r="B403" t="s">
        <v>829</v>
      </c>
      <c r="C403">
        <v>43</v>
      </c>
      <c r="D403" t="s">
        <v>906</v>
      </c>
      <c r="E403">
        <v>6</v>
      </c>
      <c r="F403" t="str">
        <f>VLOOKUP(D403, Lookup_Table!$A$2:$B$10, 2, FALSE)</f>
        <v>Dr. Menon</v>
      </c>
      <c r="G403" t="str">
        <f t="shared" si="6"/>
        <v>Adult</v>
      </c>
    </row>
    <row r="404" spans="1:7" x14ac:dyDescent="0.3">
      <c r="A404" t="s">
        <v>415</v>
      </c>
      <c r="B404" t="s">
        <v>585</v>
      </c>
      <c r="C404">
        <v>29</v>
      </c>
      <c r="D404" t="s">
        <v>904</v>
      </c>
      <c r="E404">
        <v>4</v>
      </c>
      <c r="F404" t="str">
        <f>VLOOKUP(D404, Lookup_Table!$A$2:$B$10, 2, FALSE)</f>
        <v>Dr. Deshmukh</v>
      </c>
      <c r="G404" t="str">
        <f t="shared" si="6"/>
        <v>Adult</v>
      </c>
    </row>
    <row r="405" spans="1:7" x14ac:dyDescent="0.3">
      <c r="A405" t="s">
        <v>416</v>
      </c>
      <c r="B405" t="s">
        <v>704</v>
      </c>
      <c r="C405">
        <v>26</v>
      </c>
      <c r="D405" t="s">
        <v>904</v>
      </c>
      <c r="E405">
        <v>1</v>
      </c>
      <c r="F405" t="str">
        <f>VLOOKUP(D405, Lookup_Table!$A$2:$B$10, 2, FALSE)</f>
        <v>Dr. Deshmukh</v>
      </c>
      <c r="G405" t="str">
        <f t="shared" si="6"/>
        <v>Adult</v>
      </c>
    </row>
    <row r="406" spans="1:7" x14ac:dyDescent="0.3">
      <c r="A406" t="s">
        <v>417</v>
      </c>
      <c r="B406" t="s">
        <v>552</v>
      </c>
      <c r="C406">
        <v>84</v>
      </c>
      <c r="D406" t="s">
        <v>908</v>
      </c>
      <c r="E406">
        <v>13</v>
      </c>
      <c r="F406" t="str">
        <f>VLOOKUP(D406, Lookup_Table!$A$2:$B$10, 2, FALSE)</f>
        <v>Dr. Rao</v>
      </c>
      <c r="G406" t="str">
        <f t="shared" si="6"/>
        <v>Senior</v>
      </c>
    </row>
    <row r="407" spans="1:7" x14ac:dyDescent="0.3">
      <c r="A407" t="s">
        <v>418</v>
      </c>
      <c r="B407" t="s">
        <v>830</v>
      </c>
      <c r="C407">
        <v>36</v>
      </c>
      <c r="D407" t="s">
        <v>906</v>
      </c>
      <c r="E407">
        <v>3</v>
      </c>
      <c r="F407" t="str">
        <f>VLOOKUP(D407, Lookup_Table!$A$2:$B$10, 2, FALSE)</f>
        <v>Dr. Menon</v>
      </c>
      <c r="G407" t="str">
        <f t="shared" si="6"/>
        <v>Adult</v>
      </c>
    </row>
    <row r="408" spans="1:7" x14ac:dyDescent="0.3">
      <c r="A408" t="s">
        <v>419</v>
      </c>
      <c r="B408" t="s">
        <v>831</v>
      </c>
      <c r="C408">
        <v>87</v>
      </c>
      <c r="D408" t="s">
        <v>902</v>
      </c>
      <c r="E408">
        <v>8</v>
      </c>
      <c r="F408" t="str">
        <f>VLOOKUP(D408, Lookup_Table!$A$2:$B$10, 2, FALSE)</f>
        <v>Dr. Sharma</v>
      </c>
      <c r="G408" t="str">
        <f t="shared" si="6"/>
        <v>Senior</v>
      </c>
    </row>
    <row r="409" spans="1:7" x14ac:dyDescent="0.3">
      <c r="A409" t="s">
        <v>420</v>
      </c>
      <c r="B409" t="s">
        <v>832</v>
      </c>
      <c r="C409">
        <v>47</v>
      </c>
      <c r="D409" t="s">
        <v>903</v>
      </c>
      <c r="E409">
        <v>1</v>
      </c>
      <c r="F409" t="str">
        <f>VLOOKUP(D409, Lookup_Table!$A$2:$B$10, 2, FALSE)</f>
        <v>Dr. Mishra</v>
      </c>
      <c r="G409" t="str">
        <f t="shared" si="6"/>
        <v>Adult</v>
      </c>
    </row>
    <row r="410" spans="1:7" x14ac:dyDescent="0.3">
      <c r="A410" t="s">
        <v>421</v>
      </c>
      <c r="B410" t="s">
        <v>833</v>
      </c>
      <c r="C410">
        <v>22</v>
      </c>
      <c r="D410" t="s">
        <v>904</v>
      </c>
      <c r="E410">
        <v>6</v>
      </c>
      <c r="F410" t="str">
        <f>VLOOKUP(D410, Lookup_Table!$A$2:$B$10, 2, FALSE)</f>
        <v>Dr. Deshmukh</v>
      </c>
      <c r="G410" t="str">
        <f t="shared" si="6"/>
        <v>Adult</v>
      </c>
    </row>
    <row r="411" spans="1:7" x14ac:dyDescent="0.3">
      <c r="A411" t="s">
        <v>422</v>
      </c>
      <c r="B411" t="s">
        <v>572</v>
      </c>
      <c r="C411">
        <v>80</v>
      </c>
      <c r="D411" t="s">
        <v>905</v>
      </c>
      <c r="E411">
        <v>3</v>
      </c>
      <c r="F411" t="str">
        <f>VLOOKUP(D411, Lookup_Table!$A$2:$B$10, 2, FALSE)</f>
        <v>Dr. Gupta</v>
      </c>
      <c r="G411" t="str">
        <f t="shared" si="6"/>
        <v>Senior</v>
      </c>
    </row>
    <row r="412" spans="1:7" x14ac:dyDescent="0.3">
      <c r="A412" t="s">
        <v>423</v>
      </c>
      <c r="B412" t="s">
        <v>834</v>
      </c>
      <c r="C412">
        <v>22</v>
      </c>
      <c r="D412" t="s">
        <v>906</v>
      </c>
      <c r="E412">
        <v>1</v>
      </c>
      <c r="F412" t="str">
        <f>VLOOKUP(D412, Lookup_Table!$A$2:$B$10, 2, FALSE)</f>
        <v>Dr. Menon</v>
      </c>
      <c r="G412" t="str">
        <f t="shared" si="6"/>
        <v>Adult</v>
      </c>
    </row>
    <row r="413" spans="1:7" x14ac:dyDescent="0.3">
      <c r="A413" t="s">
        <v>424</v>
      </c>
      <c r="B413" t="s">
        <v>835</v>
      </c>
      <c r="C413">
        <v>19</v>
      </c>
      <c r="D413" t="s">
        <v>904</v>
      </c>
      <c r="E413">
        <v>7</v>
      </c>
      <c r="F413" t="str">
        <f>VLOOKUP(D413, Lookup_Table!$A$2:$B$10, 2, FALSE)</f>
        <v>Dr. Deshmukh</v>
      </c>
      <c r="G413" t="str">
        <f t="shared" si="6"/>
        <v>Adult</v>
      </c>
    </row>
    <row r="414" spans="1:7" x14ac:dyDescent="0.3">
      <c r="A414" t="s">
        <v>425</v>
      </c>
      <c r="B414" t="s">
        <v>836</v>
      </c>
      <c r="C414">
        <v>63</v>
      </c>
      <c r="D414" t="s">
        <v>902</v>
      </c>
      <c r="E414">
        <v>1</v>
      </c>
      <c r="F414" t="str">
        <f>VLOOKUP(D414, Lookup_Table!$A$2:$B$10, 2, FALSE)</f>
        <v>Dr. Sharma</v>
      </c>
      <c r="G414" t="str">
        <f t="shared" si="6"/>
        <v>Senior</v>
      </c>
    </row>
    <row r="415" spans="1:7" x14ac:dyDescent="0.3">
      <c r="A415" t="s">
        <v>426</v>
      </c>
      <c r="B415" t="s">
        <v>837</v>
      </c>
      <c r="C415">
        <v>46</v>
      </c>
      <c r="D415" t="s">
        <v>907</v>
      </c>
      <c r="E415">
        <v>3</v>
      </c>
      <c r="F415" t="str">
        <f>VLOOKUP(D415, Lookup_Table!$A$2:$B$10, 2, FALSE)</f>
        <v>Dr. Chatterjee</v>
      </c>
      <c r="G415" t="str">
        <f t="shared" si="6"/>
        <v>Adult</v>
      </c>
    </row>
    <row r="416" spans="1:7" x14ac:dyDescent="0.3">
      <c r="A416" t="s">
        <v>427</v>
      </c>
      <c r="B416" t="s">
        <v>838</v>
      </c>
      <c r="C416">
        <v>64</v>
      </c>
      <c r="D416" t="s">
        <v>905</v>
      </c>
      <c r="E416">
        <v>20</v>
      </c>
      <c r="F416" t="str">
        <f>VLOOKUP(D416, Lookup_Table!$A$2:$B$10, 2, FALSE)</f>
        <v>Dr. Gupta</v>
      </c>
      <c r="G416" t="str">
        <f t="shared" si="6"/>
        <v>Senior</v>
      </c>
    </row>
    <row r="417" spans="1:7" x14ac:dyDescent="0.3">
      <c r="A417" t="s">
        <v>428</v>
      </c>
      <c r="B417" t="s">
        <v>839</v>
      </c>
      <c r="C417">
        <v>81</v>
      </c>
      <c r="D417" t="s">
        <v>907</v>
      </c>
      <c r="E417">
        <v>30</v>
      </c>
      <c r="F417" t="str">
        <f>VLOOKUP(D417, Lookup_Table!$A$2:$B$10, 2, FALSE)</f>
        <v>Dr. Chatterjee</v>
      </c>
      <c r="G417" t="str">
        <f t="shared" si="6"/>
        <v>Senior</v>
      </c>
    </row>
    <row r="418" spans="1:7" x14ac:dyDescent="0.3">
      <c r="A418" t="s">
        <v>429</v>
      </c>
      <c r="B418" t="s">
        <v>840</v>
      </c>
      <c r="C418">
        <v>18</v>
      </c>
      <c r="D418" t="s">
        <v>905</v>
      </c>
      <c r="E418">
        <v>5</v>
      </c>
      <c r="F418" t="str">
        <f>VLOOKUP(D418, Lookup_Table!$A$2:$B$10, 2, FALSE)</f>
        <v>Dr. Gupta</v>
      </c>
      <c r="G418" t="str">
        <f t="shared" si="6"/>
        <v>Adult</v>
      </c>
    </row>
    <row r="419" spans="1:7" x14ac:dyDescent="0.3">
      <c r="A419" t="s">
        <v>430</v>
      </c>
      <c r="B419" t="s">
        <v>841</v>
      </c>
      <c r="C419">
        <v>74</v>
      </c>
      <c r="D419" t="s">
        <v>909</v>
      </c>
      <c r="E419">
        <v>1</v>
      </c>
      <c r="F419" t="str">
        <f>VLOOKUP(D419, Lookup_Table!$A$2:$B$10, 2, FALSE)</f>
        <v>Dr. Tiwari</v>
      </c>
      <c r="G419" t="str">
        <f t="shared" si="6"/>
        <v>Senior</v>
      </c>
    </row>
    <row r="420" spans="1:7" x14ac:dyDescent="0.3">
      <c r="A420" t="s">
        <v>431</v>
      </c>
      <c r="B420" t="s">
        <v>842</v>
      </c>
      <c r="C420">
        <v>57</v>
      </c>
      <c r="D420" t="s">
        <v>908</v>
      </c>
      <c r="E420">
        <v>3</v>
      </c>
      <c r="F420" t="str">
        <f>VLOOKUP(D420, Lookup_Table!$A$2:$B$10, 2, FALSE)</f>
        <v>Dr. Rao</v>
      </c>
      <c r="G420" t="str">
        <f t="shared" si="6"/>
        <v>Adult</v>
      </c>
    </row>
    <row r="421" spans="1:7" x14ac:dyDescent="0.3">
      <c r="A421" t="s">
        <v>432</v>
      </c>
      <c r="B421" t="s">
        <v>843</v>
      </c>
      <c r="C421">
        <v>71</v>
      </c>
      <c r="D421" t="s">
        <v>908</v>
      </c>
      <c r="E421">
        <v>2</v>
      </c>
      <c r="F421" t="str">
        <f>VLOOKUP(D421, Lookup_Table!$A$2:$B$10, 2, FALSE)</f>
        <v>Dr. Rao</v>
      </c>
      <c r="G421" t="str">
        <f t="shared" si="6"/>
        <v>Senior</v>
      </c>
    </row>
    <row r="422" spans="1:7" x14ac:dyDescent="0.3">
      <c r="A422" t="s">
        <v>433</v>
      </c>
      <c r="B422" t="s">
        <v>605</v>
      </c>
      <c r="C422">
        <v>44</v>
      </c>
      <c r="D422" t="s">
        <v>904</v>
      </c>
      <c r="E422">
        <v>1</v>
      </c>
      <c r="F422" t="str">
        <f>VLOOKUP(D422, Lookup_Table!$A$2:$B$10, 2, FALSE)</f>
        <v>Dr. Deshmukh</v>
      </c>
      <c r="G422" t="str">
        <f t="shared" si="6"/>
        <v>Adult</v>
      </c>
    </row>
    <row r="423" spans="1:7" x14ac:dyDescent="0.3">
      <c r="A423" t="s">
        <v>434</v>
      </c>
      <c r="B423" t="s">
        <v>844</v>
      </c>
      <c r="C423">
        <v>3</v>
      </c>
      <c r="D423" t="s">
        <v>901</v>
      </c>
      <c r="E423">
        <v>3</v>
      </c>
      <c r="F423" t="str">
        <f>VLOOKUP(D423, Lookup_Table!$A$2:$B$10, 2, FALSE)</f>
        <v>Dr. Kapoor</v>
      </c>
      <c r="G423" t="str">
        <f t="shared" si="6"/>
        <v>Child</v>
      </c>
    </row>
    <row r="424" spans="1:7" x14ac:dyDescent="0.3">
      <c r="A424" t="s">
        <v>435</v>
      </c>
      <c r="B424" t="s">
        <v>688</v>
      </c>
      <c r="C424">
        <v>68</v>
      </c>
      <c r="D424" t="s">
        <v>907</v>
      </c>
      <c r="E424">
        <v>13</v>
      </c>
      <c r="F424" t="str">
        <f>VLOOKUP(D424, Lookup_Table!$A$2:$B$10, 2, FALSE)</f>
        <v>Dr. Chatterjee</v>
      </c>
      <c r="G424" t="str">
        <f t="shared" si="6"/>
        <v>Senior</v>
      </c>
    </row>
    <row r="425" spans="1:7" x14ac:dyDescent="0.3">
      <c r="A425" t="s">
        <v>436</v>
      </c>
      <c r="B425" t="s">
        <v>845</v>
      </c>
      <c r="C425">
        <v>0</v>
      </c>
      <c r="D425" t="s">
        <v>901</v>
      </c>
      <c r="E425">
        <v>4</v>
      </c>
      <c r="F425" t="str">
        <f>VLOOKUP(D425, Lookup_Table!$A$2:$B$10, 2, FALSE)</f>
        <v>Dr. Kapoor</v>
      </c>
      <c r="G425" t="str">
        <f t="shared" si="6"/>
        <v>Child</v>
      </c>
    </row>
    <row r="426" spans="1:7" x14ac:dyDescent="0.3">
      <c r="A426" t="s">
        <v>437</v>
      </c>
      <c r="B426" t="s">
        <v>764</v>
      </c>
      <c r="C426">
        <v>78</v>
      </c>
      <c r="D426" t="s">
        <v>907</v>
      </c>
      <c r="E426">
        <v>15</v>
      </c>
      <c r="F426" t="str">
        <f>VLOOKUP(D426, Lookup_Table!$A$2:$B$10, 2, FALSE)</f>
        <v>Dr. Chatterjee</v>
      </c>
      <c r="G426" t="str">
        <f t="shared" si="6"/>
        <v>Senior</v>
      </c>
    </row>
    <row r="427" spans="1:7" x14ac:dyDescent="0.3">
      <c r="A427" t="s">
        <v>438</v>
      </c>
      <c r="B427" t="s">
        <v>846</v>
      </c>
      <c r="C427">
        <v>73</v>
      </c>
      <c r="D427" t="s">
        <v>907</v>
      </c>
      <c r="E427">
        <v>1</v>
      </c>
      <c r="F427" t="str">
        <f>VLOOKUP(D427, Lookup_Table!$A$2:$B$10, 2, FALSE)</f>
        <v>Dr. Chatterjee</v>
      </c>
      <c r="G427" t="str">
        <f t="shared" si="6"/>
        <v>Senior</v>
      </c>
    </row>
    <row r="428" spans="1:7" x14ac:dyDescent="0.3">
      <c r="A428" t="s">
        <v>439</v>
      </c>
      <c r="B428" t="s">
        <v>740</v>
      </c>
      <c r="C428">
        <v>45</v>
      </c>
      <c r="D428" t="s">
        <v>902</v>
      </c>
      <c r="E428">
        <v>3</v>
      </c>
      <c r="F428" t="str">
        <f>VLOOKUP(D428, Lookup_Table!$A$2:$B$10, 2, FALSE)</f>
        <v>Dr. Sharma</v>
      </c>
      <c r="G428" t="str">
        <f t="shared" si="6"/>
        <v>Adult</v>
      </c>
    </row>
    <row r="429" spans="1:7" x14ac:dyDescent="0.3">
      <c r="A429" t="s">
        <v>440</v>
      </c>
      <c r="B429" t="s">
        <v>847</v>
      </c>
      <c r="C429">
        <v>44</v>
      </c>
      <c r="D429" t="s">
        <v>906</v>
      </c>
      <c r="E429">
        <v>1</v>
      </c>
      <c r="F429" t="str">
        <f>VLOOKUP(D429, Lookup_Table!$A$2:$B$10, 2, FALSE)</f>
        <v>Dr. Menon</v>
      </c>
      <c r="G429" t="str">
        <f t="shared" si="6"/>
        <v>Adult</v>
      </c>
    </row>
    <row r="430" spans="1:7" x14ac:dyDescent="0.3">
      <c r="A430" t="s">
        <v>441</v>
      </c>
      <c r="B430" t="s">
        <v>848</v>
      </c>
      <c r="C430">
        <v>21</v>
      </c>
      <c r="D430" t="s">
        <v>904</v>
      </c>
      <c r="E430">
        <v>2</v>
      </c>
      <c r="F430" t="str">
        <f>VLOOKUP(D430, Lookup_Table!$A$2:$B$10, 2, FALSE)</f>
        <v>Dr. Deshmukh</v>
      </c>
      <c r="G430" t="str">
        <f t="shared" si="6"/>
        <v>Adult</v>
      </c>
    </row>
    <row r="431" spans="1:7" x14ac:dyDescent="0.3">
      <c r="A431" t="s">
        <v>442</v>
      </c>
      <c r="B431" t="s">
        <v>770</v>
      </c>
      <c r="C431">
        <v>40</v>
      </c>
      <c r="D431" t="s">
        <v>903</v>
      </c>
      <c r="E431">
        <v>2</v>
      </c>
      <c r="F431" t="str">
        <f>VLOOKUP(D431, Lookup_Table!$A$2:$B$10, 2, FALSE)</f>
        <v>Dr. Mishra</v>
      </c>
      <c r="G431" t="str">
        <f t="shared" si="6"/>
        <v>Adult</v>
      </c>
    </row>
    <row r="432" spans="1:7" x14ac:dyDescent="0.3">
      <c r="A432" t="s">
        <v>443</v>
      </c>
      <c r="B432" t="s">
        <v>849</v>
      </c>
      <c r="C432">
        <v>16</v>
      </c>
      <c r="D432" t="s">
        <v>901</v>
      </c>
      <c r="E432">
        <v>6</v>
      </c>
      <c r="F432" t="str">
        <f>VLOOKUP(D432, Lookup_Table!$A$2:$B$10, 2, FALSE)</f>
        <v>Dr. Kapoor</v>
      </c>
      <c r="G432" t="str">
        <f t="shared" si="6"/>
        <v>Child</v>
      </c>
    </row>
    <row r="433" spans="1:7" x14ac:dyDescent="0.3">
      <c r="A433" t="s">
        <v>444</v>
      </c>
      <c r="B433" t="s">
        <v>747</v>
      </c>
      <c r="C433">
        <v>18</v>
      </c>
      <c r="D433" t="s">
        <v>909</v>
      </c>
      <c r="E433">
        <v>1</v>
      </c>
      <c r="F433" t="str">
        <f>VLOOKUP(D433, Lookup_Table!$A$2:$B$10, 2, FALSE)</f>
        <v>Dr. Tiwari</v>
      </c>
      <c r="G433" t="str">
        <f t="shared" si="6"/>
        <v>Adult</v>
      </c>
    </row>
    <row r="434" spans="1:7" x14ac:dyDescent="0.3">
      <c r="A434" t="s">
        <v>445</v>
      </c>
      <c r="B434" t="s">
        <v>850</v>
      </c>
      <c r="C434">
        <v>43</v>
      </c>
      <c r="D434" t="s">
        <v>903</v>
      </c>
      <c r="E434">
        <v>1</v>
      </c>
      <c r="F434" t="str">
        <f>VLOOKUP(D434, Lookup_Table!$A$2:$B$10, 2, FALSE)</f>
        <v>Dr. Mishra</v>
      </c>
      <c r="G434" t="str">
        <f t="shared" si="6"/>
        <v>Adult</v>
      </c>
    </row>
    <row r="435" spans="1:7" x14ac:dyDescent="0.3">
      <c r="A435" t="s">
        <v>446</v>
      </c>
      <c r="B435" t="s">
        <v>851</v>
      </c>
      <c r="C435">
        <v>65</v>
      </c>
      <c r="D435" t="s">
        <v>902</v>
      </c>
      <c r="E435">
        <v>1</v>
      </c>
      <c r="F435" t="str">
        <f>VLOOKUP(D435, Lookup_Table!$A$2:$B$10, 2, FALSE)</f>
        <v>Dr. Sharma</v>
      </c>
      <c r="G435" t="str">
        <f t="shared" si="6"/>
        <v>Senior</v>
      </c>
    </row>
    <row r="436" spans="1:7" x14ac:dyDescent="0.3">
      <c r="A436" t="s">
        <v>447</v>
      </c>
      <c r="B436" t="s">
        <v>689</v>
      </c>
      <c r="C436">
        <v>69</v>
      </c>
      <c r="D436" t="s">
        <v>908</v>
      </c>
      <c r="E436">
        <v>8</v>
      </c>
      <c r="F436" t="str">
        <f>VLOOKUP(D436, Lookup_Table!$A$2:$B$10, 2, FALSE)</f>
        <v>Dr. Rao</v>
      </c>
      <c r="G436" t="str">
        <f t="shared" si="6"/>
        <v>Senior</v>
      </c>
    </row>
    <row r="437" spans="1:7" x14ac:dyDescent="0.3">
      <c r="A437" t="s">
        <v>448</v>
      </c>
      <c r="B437" t="s">
        <v>544</v>
      </c>
      <c r="C437">
        <v>40</v>
      </c>
      <c r="D437" t="s">
        <v>905</v>
      </c>
      <c r="E437">
        <v>6</v>
      </c>
      <c r="F437" t="str">
        <f>VLOOKUP(D437, Lookup_Table!$A$2:$B$10, 2, FALSE)</f>
        <v>Dr. Gupta</v>
      </c>
      <c r="G437" t="str">
        <f t="shared" si="6"/>
        <v>Adult</v>
      </c>
    </row>
    <row r="438" spans="1:7" x14ac:dyDescent="0.3">
      <c r="A438" t="s">
        <v>449</v>
      </c>
      <c r="B438" t="s">
        <v>615</v>
      </c>
      <c r="C438">
        <v>63</v>
      </c>
      <c r="D438" t="s">
        <v>908</v>
      </c>
      <c r="E438">
        <v>1</v>
      </c>
      <c r="F438" t="str">
        <f>VLOOKUP(D438, Lookup_Table!$A$2:$B$10, 2, FALSE)</f>
        <v>Dr. Rao</v>
      </c>
      <c r="G438" t="str">
        <f t="shared" si="6"/>
        <v>Senior</v>
      </c>
    </row>
    <row r="439" spans="1:7" x14ac:dyDescent="0.3">
      <c r="A439" t="s">
        <v>450</v>
      </c>
      <c r="B439" t="s">
        <v>852</v>
      </c>
      <c r="C439">
        <v>62</v>
      </c>
      <c r="D439" t="s">
        <v>908</v>
      </c>
      <c r="E439">
        <v>1</v>
      </c>
      <c r="F439" t="str">
        <f>VLOOKUP(D439, Lookup_Table!$A$2:$B$10, 2, FALSE)</f>
        <v>Dr. Rao</v>
      </c>
      <c r="G439" t="str">
        <f t="shared" si="6"/>
        <v>Senior</v>
      </c>
    </row>
    <row r="440" spans="1:7" x14ac:dyDescent="0.3">
      <c r="A440" t="s">
        <v>451</v>
      </c>
      <c r="B440" t="s">
        <v>853</v>
      </c>
      <c r="C440">
        <v>60</v>
      </c>
      <c r="D440" t="s">
        <v>908</v>
      </c>
      <c r="E440">
        <v>7</v>
      </c>
      <c r="F440" t="str">
        <f>VLOOKUP(D440, Lookup_Table!$A$2:$B$10, 2, FALSE)</f>
        <v>Dr. Rao</v>
      </c>
      <c r="G440" t="str">
        <f t="shared" si="6"/>
        <v>Senior</v>
      </c>
    </row>
    <row r="441" spans="1:7" x14ac:dyDescent="0.3">
      <c r="A441" t="s">
        <v>452</v>
      </c>
      <c r="B441" t="s">
        <v>854</v>
      </c>
      <c r="C441">
        <v>67</v>
      </c>
      <c r="D441" t="s">
        <v>906</v>
      </c>
      <c r="E441">
        <v>1</v>
      </c>
      <c r="F441" t="str">
        <f>VLOOKUP(D441, Lookup_Table!$A$2:$B$10, 2, FALSE)</f>
        <v>Dr. Menon</v>
      </c>
      <c r="G441" t="str">
        <f t="shared" si="6"/>
        <v>Senior</v>
      </c>
    </row>
    <row r="442" spans="1:7" x14ac:dyDescent="0.3">
      <c r="A442" t="s">
        <v>453</v>
      </c>
      <c r="B442" t="s">
        <v>855</v>
      </c>
      <c r="C442">
        <v>85</v>
      </c>
      <c r="D442" t="s">
        <v>908</v>
      </c>
      <c r="E442">
        <v>10</v>
      </c>
      <c r="F442" t="str">
        <f>VLOOKUP(D442, Lookup_Table!$A$2:$B$10, 2, FALSE)</f>
        <v>Dr. Rao</v>
      </c>
      <c r="G442" t="str">
        <f t="shared" si="6"/>
        <v>Senior</v>
      </c>
    </row>
    <row r="443" spans="1:7" x14ac:dyDescent="0.3">
      <c r="A443" t="s">
        <v>454</v>
      </c>
      <c r="B443" t="s">
        <v>856</v>
      </c>
      <c r="C443">
        <v>21</v>
      </c>
      <c r="D443" t="s">
        <v>904</v>
      </c>
      <c r="E443">
        <v>3</v>
      </c>
      <c r="F443" t="str">
        <f>VLOOKUP(D443, Lookup_Table!$A$2:$B$10, 2, FALSE)</f>
        <v>Dr. Deshmukh</v>
      </c>
      <c r="G443" t="str">
        <f t="shared" si="6"/>
        <v>Adult</v>
      </c>
    </row>
    <row r="444" spans="1:7" x14ac:dyDescent="0.3">
      <c r="A444" t="s">
        <v>455</v>
      </c>
      <c r="B444" t="s">
        <v>778</v>
      </c>
      <c r="C444">
        <v>78</v>
      </c>
      <c r="D444" t="s">
        <v>908</v>
      </c>
      <c r="E444">
        <v>1</v>
      </c>
      <c r="F444" t="str">
        <f>VLOOKUP(D444, Lookup_Table!$A$2:$B$10, 2, FALSE)</f>
        <v>Dr. Rao</v>
      </c>
      <c r="G444" t="str">
        <f t="shared" si="6"/>
        <v>Senior</v>
      </c>
    </row>
    <row r="445" spans="1:7" x14ac:dyDescent="0.3">
      <c r="A445" t="s">
        <v>456</v>
      </c>
      <c r="B445" t="s">
        <v>857</v>
      </c>
      <c r="C445">
        <v>73</v>
      </c>
      <c r="D445" t="s">
        <v>903</v>
      </c>
      <c r="E445">
        <v>1</v>
      </c>
      <c r="F445" t="str">
        <f>VLOOKUP(D445, Lookup_Table!$A$2:$B$10, 2, FALSE)</f>
        <v>Dr. Mishra</v>
      </c>
      <c r="G445" t="str">
        <f t="shared" si="6"/>
        <v>Senior</v>
      </c>
    </row>
    <row r="446" spans="1:7" x14ac:dyDescent="0.3">
      <c r="A446" t="s">
        <v>457</v>
      </c>
      <c r="B446" t="s">
        <v>633</v>
      </c>
      <c r="C446">
        <v>63</v>
      </c>
      <c r="D446" t="s">
        <v>906</v>
      </c>
      <c r="E446">
        <v>21</v>
      </c>
      <c r="F446" t="str">
        <f>VLOOKUP(D446, Lookup_Table!$A$2:$B$10, 2, FALSE)</f>
        <v>Dr. Menon</v>
      </c>
      <c r="G446" t="str">
        <f t="shared" si="6"/>
        <v>Senior</v>
      </c>
    </row>
    <row r="447" spans="1:7" x14ac:dyDescent="0.3">
      <c r="A447" t="s">
        <v>458</v>
      </c>
      <c r="B447" t="s">
        <v>771</v>
      </c>
      <c r="C447">
        <v>40</v>
      </c>
      <c r="D447" t="s">
        <v>906</v>
      </c>
      <c r="E447">
        <v>2</v>
      </c>
      <c r="F447" t="str">
        <f>VLOOKUP(D447, Lookup_Table!$A$2:$B$10, 2, FALSE)</f>
        <v>Dr. Menon</v>
      </c>
      <c r="G447" t="str">
        <f t="shared" si="6"/>
        <v>Adult</v>
      </c>
    </row>
    <row r="448" spans="1:7" x14ac:dyDescent="0.3">
      <c r="A448" t="s">
        <v>459</v>
      </c>
      <c r="B448" t="s">
        <v>722</v>
      </c>
      <c r="C448">
        <v>80</v>
      </c>
      <c r="D448" t="s">
        <v>905</v>
      </c>
      <c r="E448">
        <v>3</v>
      </c>
      <c r="F448" t="str">
        <f>VLOOKUP(D448, Lookup_Table!$A$2:$B$10, 2, FALSE)</f>
        <v>Dr. Gupta</v>
      </c>
      <c r="G448" t="str">
        <f t="shared" si="6"/>
        <v>Senior</v>
      </c>
    </row>
    <row r="449" spans="1:7" x14ac:dyDescent="0.3">
      <c r="A449" t="s">
        <v>460</v>
      </c>
      <c r="B449" t="s">
        <v>858</v>
      </c>
      <c r="C449">
        <v>75</v>
      </c>
      <c r="D449" t="s">
        <v>909</v>
      </c>
      <c r="E449">
        <v>3</v>
      </c>
      <c r="F449" t="str">
        <f>VLOOKUP(D449, Lookup_Table!$A$2:$B$10, 2, FALSE)</f>
        <v>Dr. Tiwari</v>
      </c>
      <c r="G449" t="str">
        <f t="shared" si="6"/>
        <v>Senior</v>
      </c>
    </row>
    <row r="450" spans="1:7" x14ac:dyDescent="0.3">
      <c r="A450" t="s">
        <v>461</v>
      </c>
      <c r="B450" t="s">
        <v>859</v>
      </c>
      <c r="C450">
        <v>67</v>
      </c>
      <c r="D450" t="s">
        <v>907</v>
      </c>
      <c r="E450">
        <v>29</v>
      </c>
      <c r="F450" t="str">
        <f>VLOOKUP(D450, Lookup_Table!$A$2:$B$10, 2, FALSE)</f>
        <v>Dr. Chatterjee</v>
      </c>
      <c r="G450" t="str">
        <f t="shared" si="6"/>
        <v>Senior</v>
      </c>
    </row>
    <row r="451" spans="1:7" x14ac:dyDescent="0.3">
      <c r="A451" t="s">
        <v>462</v>
      </c>
      <c r="B451" t="s">
        <v>860</v>
      </c>
      <c r="C451">
        <v>29</v>
      </c>
      <c r="D451" t="s">
        <v>905</v>
      </c>
      <c r="E451">
        <v>29</v>
      </c>
      <c r="F451" t="str">
        <f>VLOOKUP(D451, Lookup_Table!$A$2:$B$10, 2, FALSE)</f>
        <v>Dr. Gupta</v>
      </c>
      <c r="G451" t="str">
        <f t="shared" si="6"/>
        <v>Adult</v>
      </c>
    </row>
    <row r="452" spans="1:7" x14ac:dyDescent="0.3">
      <c r="A452" t="s">
        <v>463</v>
      </c>
      <c r="B452" t="s">
        <v>724</v>
      </c>
      <c r="C452">
        <v>63</v>
      </c>
      <c r="D452" t="s">
        <v>907</v>
      </c>
      <c r="E452">
        <v>13</v>
      </c>
      <c r="F452" t="str">
        <f>VLOOKUP(D452, Lookup_Table!$A$2:$B$10, 2, FALSE)</f>
        <v>Dr. Chatterjee</v>
      </c>
      <c r="G452" t="str">
        <f t="shared" si="6"/>
        <v>Senior</v>
      </c>
    </row>
    <row r="453" spans="1:7" x14ac:dyDescent="0.3">
      <c r="A453" t="s">
        <v>464</v>
      </c>
      <c r="B453" t="s">
        <v>840</v>
      </c>
      <c r="C453">
        <v>54</v>
      </c>
      <c r="D453" t="s">
        <v>902</v>
      </c>
      <c r="E453">
        <v>2</v>
      </c>
      <c r="F453" t="str">
        <f>VLOOKUP(D453, Lookup_Table!$A$2:$B$10, 2, FALSE)</f>
        <v>Dr. Sharma</v>
      </c>
      <c r="G453" t="str">
        <f t="shared" ref="G453:G504" si="7">IF(C453&lt;18,"Child", IF(C453&lt;60,"Adult","Senior"))</f>
        <v>Adult</v>
      </c>
    </row>
    <row r="454" spans="1:7" x14ac:dyDescent="0.3">
      <c r="A454" t="s">
        <v>465</v>
      </c>
      <c r="B454" t="s">
        <v>861</v>
      </c>
      <c r="C454">
        <v>34</v>
      </c>
      <c r="D454" t="s">
        <v>903</v>
      </c>
      <c r="E454">
        <v>1</v>
      </c>
      <c r="F454" t="str">
        <f>VLOOKUP(D454, Lookup_Table!$A$2:$B$10, 2, FALSE)</f>
        <v>Dr. Mishra</v>
      </c>
      <c r="G454" t="str">
        <f t="shared" si="7"/>
        <v>Adult</v>
      </c>
    </row>
    <row r="455" spans="1:7" x14ac:dyDescent="0.3">
      <c r="A455" t="s">
        <v>466</v>
      </c>
      <c r="B455" t="s">
        <v>521</v>
      </c>
      <c r="C455">
        <v>78</v>
      </c>
      <c r="D455" t="s">
        <v>908</v>
      </c>
      <c r="E455">
        <v>9</v>
      </c>
      <c r="F455" t="str">
        <f>VLOOKUP(D455, Lookup_Table!$A$2:$B$10, 2, FALSE)</f>
        <v>Dr. Rao</v>
      </c>
      <c r="G455" t="str">
        <f t="shared" si="7"/>
        <v>Senior</v>
      </c>
    </row>
    <row r="456" spans="1:7" x14ac:dyDescent="0.3">
      <c r="A456" t="s">
        <v>467</v>
      </c>
      <c r="B456" t="s">
        <v>634</v>
      </c>
      <c r="C456">
        <v>76</v>
      </c>
      <c r="D456" t="s">
        <v>908</v>
      </c>
      <c r="E456">
        <v>4</v>
      </c>
      <c r="F456" t="str">
        <f>VLOOKUP(D456, Lookup_Table!$A$2:$B$10, 2, FALSE)</f>
        <v>Dr. Rao</v>
      </c>
      <c r="G456" t="str">
        <f t="shared" si="7"/>
        <v>Senior</v>
      </c>
    </row>
    <row r="457" spans="1:7" x14ac:dyDescent="0.3">
      <c r="A457" t="s">
        <v>468</v>
      </c>
      <c r="B457" t="s">
        <v>704</v>
      </c>
      <c r="C457">
        <v>77</v>
      </c>
      <c r="D457" t="s">
        <v>905</v>
      </c>
      <c r="E457">
        <v>3</v>
      </c>
      <c r="F457" t="str">
        <f>VLOOKUP(D457, Lookup_Table!$A$2:$B$10, 2, FALSE)</f>
        <v>Dr. Gupta</v>
      </c>
      <c r="G457" t="str">
        <f t="shared" si="7"/>
        <v>Senior</v>
      </c>
    </row>
    <row r="458" spans="1:7" x14ac:dyDescent="0.3">
      <c r="A458" t="s">
        <v>469</v>
      </c>
      <c r="B458" t="s">
        <v>862</v>
      </c>
      <c r="C458">
        <v>31</v>
      </c>
      <c r="D458" t="s">
        <v>908</v>
      </c>
      <c r="E458">
        <v>14</v>
      </c>
      <c r="F458" t="str">
        <f>VLOOKUP(D458, Lookup_Table!$A$2:$B$10, 2, FALSE)</f>
        <v>Dr. Rao</v>
      </c>
      <c r="G458" t="str">
        <f t="shared" si="7"/>
        <v>Adult</v>
      </c>
    </row>
    <row r="459" spans="1:7" x14ac:dyDescent="0.3">
      <c r="A459" t="s">
        <v>470</v>
      </c>
      <c r="B459" t="s">
        <v>688</v>
      </c>
      <c r="C459">
        <v>52</v>
      </c>
      <c r="D459" t="s">
        <v>903</v>
      </c>
      <c r="E459">
        <v>1</v>
      </c>
      <c r="F459" t="str">
        <f>VLOOKUP(D459, Lookup_Table!$A$2:$B$10, 2, FALSE)</f>
        <v>Dr. Mishra</v>
      </c>
      <c r="G459" t="str">
        <f t="shared" si="7"/>
        <v>Adult</v>
      </c>
    </row>
    <row r="460" spans="1:7" x14ac:dyDescent="0.3">
      <c r="A460" t="s">
        <v>471</v>
      </c>
      <c r="B460" t="s">
        <v>863</v>
      </c>
      <c r="C460">
        <v>31</v>
      </c>
      <c r="D460" t="s">
        <v>908</v>
      </c>
      <c r="E460">
        <v>4</v>
      </c>
      <c r="F460" t="str">
        <f>VLOOKUP(D460, Lookup_Table!$A$2:$B$10, 2, FALSE)</f>
        <v>Dr. Rao</v>
      </c>
      <c r="G460" t="str">
        <f t="shared" si="7"/>
        <v>Adult</v>
      </c>
    </row>
    <row r="461" spans="1:7" x14ac:dyDescent="0.3">
      <c r="A461" t="s">
        <v>472</v>
      </c>
      <c r="B461" t="s">
        <v>670</v>
      </c>
      <c r="C461">
        <v>21</v>
      </c>
      <c r="D461" t="s">
        <v>903</v>
      </c>
      <c r="E461">
        <v>1</v>
      </c>
      <c r="F461" t="str">
        <f>VLOOKUP(D461, Lookup_Table!$A$2:$B$10, 2, FALSE)</f>
        <v>Dr. Mishra</v>
      </c>
      <c r="G461" t="str">
        <f t="shared" si="7"/>
        <v>Adult</v>
      </c>
    </row>
    <row r="462" spans="1:7" x14ac:dyDescent="0.3">
      <c r="A462" t="s">
        <v>473</v>
      </c>
      <c r="B462" t="s">
        <v>864</v>
      </c>
      <c r="C462">
        <v>76</v>
      </c>
      <c r="D462" t="s">
        <v>908</v>
      </c>
      <c r="E462">
        <v>3</v>
      </c>
      <c r="F462" t="str">
        <f>VLOOKUP(D462, Lookup_Table!$A$2:$B$10, 2, FALSE)</f>
        <v>Dr. Rao</v>
      </c>
      <c r="G462" t="str">
        <f t="shared" si="7"/>
        <v>Senior</v>
      </c>
    </row>
    <row r="463" spans="1:7" x14ac:dyDescent="0.3">
      <c r="A463" t="s">
        <v>474</v>
      </c>
      <c r="B463" t="s">
        <v>865</v>
      </c>
      <c r="C463">
        <v>23</v>
      </c>
      <c r="D463" t="s">
        <v>904</v>
      </c>
      <c r="E463">
        <v>1</v>
      </c>
      <c r="F463" t="str">
        <f>VLOOKUP(D463, Lookup_Table!$A$2:$B$10, 2, FALSE)</f>
        <v>Dr. Deshmukh</v>
      </c>
      <c r="G463" t="str">
        <f t="shared" si="7"/>
        <v>Adult</v>
      </c>
    </row>
    <row r="464" spans="1:7" x14ac:dyDescent="0.3">
      <c r="A464" t="s">
        <v>475</v>
      </c>
      <c r="B464" t="s">
        <v>866</v>
      </c>
      <c r="C464">
        <v>68</v>
      </c>
      <c r="D464" t="s">
        <v>905</v>
      </c>
      <c r="E464">
        <v>1</v>
      </c>
      <c r="F464" t="str">
        <f>VLOOKUP(D464, Lookup_Table!$A$2:$B$10, 2, FALSE)</f>
        <v>Dr. Gupta</v>
      </c>
      <c r="G464" t="str">
        <f t="shared" si="7"/>
        <v>Senior</v>
      </c>
    </row>
    <row r="465" spans="1:7" x14ac:dyDescent="0.3">
      <c r="A465" t="s">
        <v>476</v>
      </c>
      <c r="B465" t="s">
        <v>867</v>
      </c>
      <c r="C465">
        <v>68</v>
      </c>
      <c r="D465" t="s">
        <v>902</v>
      </c>
      <c r="E465">
        <v>1</v>
      </c>
      <c r="F465" t="str">
        <f>VLOOKUP(D465, Lookup_Table!$A$2:$B$10, 2, FALSE)</f>
        <v>Dr. Sharma</v>
      </c>
      <c r="G465" t="str">
        <f t="shared" si="7"/>
        <v>Senior</v>
      </c>
    </row>
    <row r="466" spans="1:7" x14ac:dyDescent="0.3">
      <c r="A466" t="s">
        <v>477</v>
      </c>
      <c r="B466" t="s">
        <v>868</v>
      </c>
      <c r="C466">
        <v>68</v>
      </c>
      <c r="D466" t="s">
        <v>908</v>
      </c>
      <c r="E466">
        <v>6</v>
      </c>
      <c r="F466" t="str">
        <f>VLOOKUP(D466, Lookup_Table!$A$2:$B$10, 2, FALSE)</f>
        <v>Dr. Rao</v>
      </c>
      <c r="G466" t="str">
        <f t="shared" si="7"/>
        <v>Senior</v>
      </c>
    </row>
    <row r="467" spans="1:7" x14ac:dyDescent="0.3">
      <c r="A467" t="s">
        <v>478</v>
      </c>
      <c r="B467" t="s">
        <v>869</v>
      </c>
      <c r="C467">
        <v>78</v>
      </c>
      <c r="D467" t="s">
        <v>902</v>
      </c>
      <c r="E467">
        <v>6</v>
      </c>
      <c r="F467" t="str">
        <f>VLOOKUP(D467, Lookup_Table!$A$2:$B$10, 2, FALSE)</f>
        <v>Dr. Sharma</v>
      </c>
      <c r="G467" t="str">
        <f t="shared" si="7"/>
        <v>Senior</v>
      </c>
    </row>
    <row r="468" spans="1:7" x14ac:dyDescent="0.3">
      <c r="A468" t="s">
        <v>479</v>
      </c>
      <c r="B468" t="s">
        <v>870</v>
      </c>
      <c r="C468">
        <v>76</v>
      </c>
      <c r="D468" t="s">
        <v>906</v>
      </c>
      <c r="E468">
        <v>4</v>
      </c>
      <c r="F468" t="str">
        <f>VLOOKUP(D468, Lookup_Table!$A$2:$B$10, 2, FALSE)</f>
        <v>Dr. Menon</v>
      </c>
      <c r="G468" t="str">
        <f t="shared" si="7"/>
        <v>Senior</v>
      </c>
    </row>
    <row r="469" spans="1:7" x14ac:dyDescent="0.3">
      <c r="A469" t="s">
        <v>480</v>
      </c>
      <c r="B469" t="s">
        <v>768</v>
      </c>
      <c r="C469">
        <v>42</v>
      </c>
      <c r="D469" t="s">
        <v>909</v>
      </c>
      <c r="E469">
        <v>6</v>
      </c>
      <c r="F469" t="str">
        <f>VLOOKUP(D469, Lookup_Table!$A$2:$B$10, 2, FALSE)</f>
        <v>Dr. Tiwari</v>
      </c>
      <c r="G469" t="str">
        <f t="shared" si="7"/>
        <v>Adult</v>
      </c>
    </row>
    <row r="470" spans="1:7" x14ac:dyDescent="0.3">
      <c r="A470" t="s">
        <v>481</v>
      </c>
      <c r="B470" t="s">
        <v>566</v>
      </c>
      <c r="C470">
        <v>61</v>
      </c>
      <c r="D470" t="s">
        <v>909</v>
      </c>
      <c r="E470">
        <v>1</v>
      </c>
      <c r="F470" t="str">
        <f>VLOOKUP(D470, Lookup_Table!$A$2:$B$10, 2, FALSE)</f>
        <v>Dr. Tiwari</v>
      </c>
      <c r="G470" t="str">
        <f t="shared" si="7"/>
        <v>Senior</v>
      </c>
    </row>
    <row r="471" spans="1:7" x14ac:dyDescent="0.3">
      <c r="A471" t="s">
        <v>482</v>
      </c>
      <c r="B471" t="s">
        <v>871</v>
      </c>
      <c r="C471">
        <v>4</v>
      </c>
      <c r="D471" t="s">
        <v>901</v>
      </c>
      <c r="E471">
        <v>1</v>
      </c>
      <c r="F471" t="str">
        <f>VLOOKUP(D471, Lookup_Table!$A$2:$B$10, 2, FALSE)</f>
        <v>Dr. Kapoor</v>
      </c>
      <c r="G471" t="str">
        <f t="shared" si="7"/>
        <v>Child</v>
      </c>
    </row>
    <row r="472" spans="1:7" x14ac:dyDescent="0.3">
      <c r="A472" t="s">
        <v>483</v>
      </c>
      <c r="B472" t="s">
        <v>872</v>
      </c>
      <c r="C472">
        <v>39</v>
      </c>
      <c r="D472" t="s">
        <v>903</v>
      </c>
      <c r="E472">
        <v>8</v>
      </c>
      <c r="F472" t="str">
        <f>VLOOKUP(D472, Lookup_Table!$A$2:$B$10, 2, FALSE)</f>
        <v>Dr. Mishra</v>
      </c>
      <c r="G472" t="str">
        <f t="shared" si="7"/>
        <v>Adult</v>
      </c>
    </row>
    <row r="473" spans="1:7" x14ac:dyDescent="0.3">
      <c r="A473" t="s">
        <v>484</v>
      </c>
      <c r="B473" t="s">
        <v>723</v>
      </c>
      <c r="C473">
        <v>35</v>
      </c>
      <c r="D473" t="s">
        <v>905</v>
      </c>
      <c r="E473">
        <v>1</v>
      </c>
      <c r="F473" t="str">
        <f>VLOOKUP(D473, Lookup_Table!$A$2:$B$10, 2, FALSE)</f>
        <v>Dr. Gupta</v>
      </c>
      <c r="G473" t="str">
        <f t="shared" si="7"/>
        <v>Adult</v>
      </c>
    </row>
    <row r="474" spans="1:7" x14ac:dyDescent="0.3">
      <c r="A474" t="s">
        <v>485</v>
      </c>
      <c r="B474" t="s">
        <v>843</v>
      </c>
      <c r="C474">
        <v>62</v>
      </c>
      <c r="D474" t="s">
        <v>907</v>
      </c>
      <c r="E474">
        <v>33</v>
      </c>
      <c r="F474" t="str">
        <f>VLOOKUP(D474, Lookup_Table!$A$2:$B$10, 2, FALSE)</f>
        <v>Dr. Chatterjee</v>
      </c>
      <c r="G474" t="str">
        <f t="shared" si="7"/>
        <v>Senior</v>
      </c>
    </row>
    <row r="475" spans="1:7" x14ac:dyDescent="0.3">
      <c r="A475" t="s">
        <v>486</v>
      </c>
      <c r="B475" t="s">
        <v>873</v>
      </c>
      <c r="C475">
        <v>73</v>
      </c>
      <c r="D475" t="s">
        <v>902</v>
      </c>
      <c r="E475">
        <v>1</v>
      </c>
      <c r="F475" t="str">
        <f>VLOOKUP(D475, Lookup_Table!$A$2:$B$10, 2, FALSE)</f>
        <v>Dr. Sharma</v>
      </c>
      <c r="G475" t="str">
        <f t="shared" si="7"/>
        <v>Senior</v>
      </c>
    </row>
    <row r="476" spans="1:7" x14ac:dyDescent="0.3">
      <c r="A476" t="s">
        <v>487</v>
      </c>
      <c r="B476" t="s">
        <v>874</v>
      </c>
      <c r="C476">
        <v>37</v>
      </c>
      <c r="D476" t="s">
        <v>904</v>
      </c>
      <c r="E476">
        <v>10</v>
      </c>
      <c r="F476" t="str">
        <f>VLOOKUP(D476, Lookup_Table!$A$2:$B$10, 2, FALSE)</f>
        <v>Dr. Deshmukh</v>
      </c>
      <c r="G476" t="str">
        <f t="shared" si="7"/>
        <v>Adult</v>
      </c>
    </row>
    <row r="477" spans="1:7" x14ac:dyDescent="0.3">
      <c r="A477" t="s">
        <v>488</v>
      </c>
      <c r="B477" t="s">
        <v>603</v>
      </c>
      <c r="C477">
        <v>47</v>
      </c>
      <c r="D477" t="s">
        <v>902</v>
      </c>
      <c r="E477">
        <v>1</v>
      </c>
      <c r="F477" t="str">
        <f>VLOOKUP(D477, Lookup_Table!$A$2:$B$10, 2, FALSE)</f>
        <v>Dr. Sharma</v>
      </c>
      <c r="G477" t="str">
        <f t="shared" si="7"/>
        <v>Adult</v>
      </c>
    </row>
    <row r="478" spans="1:7" x14ac:dyDescent="0.3">
      <c r="A478" t="s">
        <v>489</v>
      </c>
      <c r="B478" t="s">
        <v>875</v>
      </c>
      <c r="C478">
        <v>15</v>
      </c>
      <c r="D478" t="s">
        <v>901</v>
      </c>
      <c r="E478">
        <v>6</v>
      </c>
      <c r="F478" t="str">
        <f>VLOOKUP(D478, Lookup_Table!$A$2:$B$10, 2, FALSE)</f>
        <v>Dr. Kapoor</v>
      </c>
      <c r="G478" t="str">
        <f t="shared" si="7"/>
        <v>Child</v>
      </c>
    </row>
    <row r="479" spans="1:7" x14ac:dyDescent="0.3">
      <c r="A479" t="s">
        <v>490</v>
      </c>
      <c r="B479" t="s">
        <v>773</v>
      </c>
      <c r="C479">
        <v>35</v>
      </c>
      <c r="D479" t="s">
        <v>907</v>
      </c>
      <c r="E479">
        <v>7</v>
      </c>
      <c r="F479" t="str">
        <f>VLOOKUP(D479, Lookup_Table!$A$2:$B$10, 2, FALSE)</f>
        <v>Dr. Chatterjee</v>
      </c>
      <c r="G479" t="str">
        <f t="shared" si="7"/>
        <v>Adult</v>
      </c>
    </row>
    <row r="480" spans="1:7" x14ac:dyDescent="0.3">
      <c r="A480" t="s">
        <v>491</v>
      </c>
      <c r="B480" t="s">
        <v>615</v>
      </c>
      <c r="C480">
        <v>75</v>
      </c>
      <c r="D480" t="s">
        <v>907</v>
      </c>
      <c r="E480">
        <v>45</v>
      </c>
      <c r="F480" t="str">
        <f>VLOOKUP(D480, Lookup_Table!$A$2:$B$10, 2, FALSE)</f>
        <v>Dr. Chatterjee</v>
      </c>
      <c r="G480" t="str">
        <f t="shared" si="7"/>
        <v>Senior</v>
      </c>
    </row>
    <row r="481" spans="1:7" x14ac:dyDescent="0.3">
      <c r="A481" t="s">
        <v>492</v>
      </c>
      <c r="B481" t="s">
        <v>674</v>
      </c>
      <c r="C481">
        <v>80</v>
      </c>
      <c r="D481" t="s">
        <v>905</v>
      </c>
      <c r="E481">
        <v>1</v>
      </c>
      <c r="F481" t="str">
        <f>VLOOKUP(D481, Lookup_Table!$A$2:$B$10, 2, FALSE)</f>
        <v>Dr. Gupta</v>
      </c>
      <c r="G481" t="str">
        <f t="shared" si="7"/>
        <v>Senior</v>
      </c>
    </row>
    <row r="482" spans="1:7" x14ac:dyDescent="0.3">
      <c r="A482" t="s">
        <v>493</v>
      </c>
      <c r="B482" t="s">
        <v>622</v>
      </c>
      <c r="C482">
        <v>34</v>
      </c>
      <c r="D482" t="s">
        <v>903</v>
      </c>
      <c r="E482">
        <v>3</v>
      </c>
      <c r="F482" t="str">
        <f>VLOOKUP(D482, Lookup_Table!$A$2:$B$10, 2, FALSE)</f>
        <v>Dr. Mishra</v>
      </c>
      <c r="G482" t="str">
        <f t="shared" si="7"/>
        <v>Adult</v>
      </c>
    </row>
    <row r="483" spans="1:7" x14ac:dyDescent="0.3">
      <c r="A483" t="s">
        <v>494</v>
      </c>
      <c r="B483" t="s">
        <v>876</v>
      </c>
      <c r="C483">
        <v>5</v>
      </c>
      <c r="D483" t="s">
        <v>901</v>
      </c>
      <c r="E483">
        <v>10</v>
      </c>
      <c r="F483" t="str">
        <f>VLOOKUP(D483, Lookup_Table!$A$2:$B$10, 2, FALSE)</f>
        <v>Dr. Kapoor</v>
      </c>
      <c r="G483" t="str">
        <f t="shared" si="7"/>
        <v>Child</v>
      </c>
    </row>
    <row r="484" spans="1:7" x14ac:dyDescent="0.3">
      <c r="A484" t="s">
        <v>495</v>
      </c>
      <c r="B484" t="s">
        <v>877</v>
      </c>
      <c r="C484">
        <v>19</v>
      </c>
      <c r="D484" t="s">
        <v>909</v>
      </c>
      <c r="E484">
        <v>1</v>
      </c>
      <c r="F484" t="str">
        <f>VLOOKUP(D484, Lookup_Table!$A$2:$B$10, 2, FALSE)</f>
        <v>Dr. Tiwari</v>
      </c>
      <c r="G484" t="str">
        <f t="shared" si="7"/>
        <v>Adult</v>
      </c>
    </row>
    <row r="485" spans="1:7" x14ac:dyDescent="0.3">
      <c r="A485" t="s">
        <v>496</v>
      </c>
      <c r="B485" t="s">
        <v>878</v>
      </c>
      <c r="C485">
        <v>33</v>
      </c>
      <c r="D485" t="s">
        <v>904</v>
      </c>
      <c r="E485">
        <v>2</v>
      </c>
      <c r="F485" t="str">
        <f>VLOOKUP(D485, Lookup_Table!$A$2:$B$10, 2, FALSE)</f>
        <v>Dr. Deshmukh</v>
      </c>
      <c r="G485" t="str">
        <f t="shared" si="7"/>
        <v>Adult</v>
      </c>
    </row>
    <row r="486" spans="1:7" x14ac:dyDescent="0.3">
      <c r="A486" t="s">
        <v>497</v>
      </c>
      <c r="B486" t="s">
        <v>879</v>
      </c>
      <c r="C486">
        <v>0</v>
      </c>
      <c r="D486" t="s">
        <v>901</v>
      </c>
      <c r="E486">
        <v>3</v>
      </c>
      <c r="F486" t="str">
        <f>VLOOKUP(D486, Lookup_Table!$A$2:$B$10, 2, FALSE)</f>
        <v>Dr. Kapoor</v>
      </c>
      <c r="G486" t="str">
        <f t="shared" si="7"/>
        <v>Child</v>
      </c>
    </row>
    <row r="487" spans="1:7" x14ac:dyDescent="0.3">
      <c r="A487" t="s">
        <v>498</v>
      </c>
      <c r="B487" t="s">
        <v>880</v>
      </c>
      <c r="C487">
        <v>21</v>
      </c>
      <c r="D487" t="s">
        <v>903</v>
      </c>
      <c r="E487">
        <v>2</v>
      </c>
      <c r="F487" t="str">
        <f>VLOOKUP(D487, Lookup_Table!$A$2:$B$10, 2, FALSE)</f>
        <v>Dr. Mishra</v>
      </c>
      <c r="G487" t="str">
        <f t="shared" si="7"/>
        <v>Adult</v>
      </c>
    </row>
    <row r="488" spans="1:7" x14ac:dyDescent="0.3">
      <c r="A488" t="s">
        <v>499</v>
      </c>
      <c r="B488" t="s">
        <v>881</v>
      </c>
      <c r="C488">
        <v>19</v>
      </c>
      <c r="D488" t="s">
        <v>904</v>
      </c>
      <c r="E488">
        <v>2</v>
      </c>
      <c r="F488" t="str">
        <f>VLOOKUP(D488, Lookup_Table!$A$2:$B$10, 2, FALSE)</f>
        <v>Dr. Deshmukh</v>
      </c>
      <c r="G488" t="str">
        <f t="shared" si="7"/>
        <v>Adult</v>
      </c>
    </row>
    <row r="489" spans="1:7" x14ac:dyDescent="0.3">
      <c r="A489" t="s">
        <v>500</v>
      </c>
      <c r="B489" t="s">
        <v>527</v>
      </c>
      <c r="C489">
        <v>58</v>
      </c>
      <c r="D489" t="s">
        <v>902</v>
      </c>
      <c r="E489">
        <v>4</v>
      </c>
      <c r="F489" t="str">
        <f>VLOOKUP(D489, Lookup_Table!$A$2:$B$10, 2, FALSE)</f>
        <v>Dr. Sharma</v>
      </c>
      <c r="G489" t="str">
        <f t="shared" si="7"/>
        <v>Adult</v>
      </c>
    </row>
    <row r="490" spans="1:7" x14ac:dyDescent="0.3">
      <c r="A490" t="s">
        <v>501</v>
      </c>
      <c r="B490" t="s">
        <v>882</v>
      </c>
      <c r="C490">
        <v>66</v>
      </c>
      <c r="D490" t="s">
        <v>908</v>
      </c>
      <c r="E490">
        <v>13</v>
      </c>
      <c r="F490" t="str">
        <f>VLOOKUP(D490, Lookup_Table!$A$2:$B$10, 2, FALSE)</f>
        <v>Dr. Rao</v>
      </c>
      <c r="G490" t="str">
        <f t="shared" si="7"/>
        <v>Senior</v>
      </c>
    </row>
    <row r="491" spans="1:7" x14ac:dyDescent="0.3">
      <c r="A491" t="s">
        <v>502</v>
      </c>
      <c r="B491" t="s">
        <v>682</v>
      </c>
      <c r="C491">
        <v>75</v>
      </c>
      <c r="D491" t="s">
        <v>905</v>
      </c>
      <c r="E491">
        <v>1</v>
      </c>
      <c r="F491" t="str">
        <f>VLOOKUP(D491, Lookup_Table!$A$2:$B$10, 2, FALSE)</f>
        <v>Dr. Gupta</v>
      </c>
      <c r="G491" t="str">
        <f t="shared" si="7"/>
        <v>Senior</v>
      </c>
    </row>
    <row r="492" spans="1:7" x14ac:dyDescent="0.3">
      <c r="A492" t="s">
        <v>503</v>
      </c>
      <c r="B492" t="s">
        <v>553</v>
      </c>
      <c r="C492">
        <v>82</v>
      </c>
      <c r="D492" t="s">
        <v>907</v>
      </c>
      <c r="E492">
        <v>3</v>
      </c>
      <c r="F492" t="str">
        <f>VLOOKUP(D492, Lookup_Table!$A$2:$B$10, 2, FALSE)</f>
        <v>Dr. Chatterjee</v>
      </c>
      <c r="G492" t="str">
        <f t="shared" si="7"/>
        <v>Senior</v>
      </c>
    </row>
    <row r="493" spans="1:7" x14ac:dyDescent="0.3">
      <c r="A493" t="s">
        <v>504</v>
      </c>
      <c r="B493" t="s">
        <v>883</v>
      </c>
      <c r="C493">
        <v>37</v>
      </c>
      <c r="D493" t="s">
        <v>905</v>
      </c>
      <c r="E493">
        <v>21</v>
      </c>
      <c r="F493" t="str">
        <f>VLOOKUP(D493, Lookup_Table!$A$2:$B$10, 2, FALSE)</f>
        <v>Dr. Gupta</v>
      </c>
      <c r="G493" t="str">
        <f t="shared" si="7"/>
        <v>Adult</v>
      </c>
    </row>
    <row r="494" spans="1:7" x14ac:dyDescent="0.3">
      <c r="A494" t="s">
        <v>505</v>
      </c>
      <c r="B494" t="s">
        <v>884</v>
      </c>
      <c r="C494">
        <v>38</v>
      </c>
      <c r="D494" t="s">
        <v>904</v>
      </c>
      <c r="E494">
        <v>6</v>
      </c>
      <c r="F494" t="str">
        <f>VLOOKUP(D494, Lookup_Table!$A$2:$B$10, 2, FALSE)</f>
        <v>Dr. Deshmukh</v>
      </c>
      <c r="G494" t="str">
        <f t="shared" si="7"/>
        <v>Adult</v>
      </c>
    </row>
    <row r="495" spans="1:7" x14ac:dyDescent="0.3">
      <c r="A495" t="s">
        <v>506</v>
      </c>
      <c r="B495" t="s">
        <v>885</v>
      </c>
      <c r="C495">
        <v>69</v>
      </c>
      <c r="D495" t="s">
        <v>907</v>
      </c>
      <c r="E495">
        <v>6</v>
      </c>
      <c r="F495" t="str">
        <f>VLOOKUP(D495, Lookup_Table!$A$2:$B$10, 2, FALSE)</f>
        <v>Dr. Chatterjee</v>
      </c>
      <c r="G495" t="str">
        <f t="shared" si="7"/>
        <v>Senior</v>
      </c>
    </row>
    <row r="496" spans="1:7" x14ac:dyDescent="0.3">
      <c r="A496" t="s">
        <v>507</v>
      </c>
      <c r="B496" t="s">
        <v>886</v>
      </c>
      <c r="C496">
        <v>9</v>
      </c>
      <c r="D496" t="s">
        <v>901</v>
      </c>
      <c r="E496">
        <v>2</v>
      </c>
      <c r="F496" t="str">
        <f>VLOOKUP(D496, Lookup_Table!$A$2:$B$10, 2, FALSE)</f>
        <v>Dr. Kapoor</v>
      </c>
      <c r="G496" t="str">
        <f t="shared" si="7"/>
        <v>Child</v>
      </c>
    </row>
    <row r="497" spans="1:7" x14ac:dyDescent="0.3">
      <c r="A497" t="s">
        <v>508</v>
      </c>
      <c r="B497" t="s">
        <v>638</v>
      </c>
      <c r="C497">
        <v>42</v>
      </c>
      <c r="D497" t="s">
        <v>908</v>
      </c>
      <c r="E497">
        <v>1</v>
      </c>
      <c r="F497" t="str">
        <f>VLOOKUP(D497, Lookup_Table!$A$2:$B$10, 2, FALSE)</f>
        <v>Dr. Rao</v>
      </c>
      <c r="G497" t="str">
        <f t="shared" si="7"/>
        <v>Adult</v>
      </c>
    </row>
    <row r="498" spans="1:7" x14ac:dyDescent="0.3">
      <c r="A498" t="s">
        <v>509</v>
      </c>
      <c r="B498" t="s">
        <v>887</v>
      </c>
      <c r="C498">
        <v>66</v>
      </c>
      <c r="D498" t="s">
        <v>908</v>
      </c>
      <c r="E498">
        <v>1</v>
      </c>
      <c r="F498" t="str">
        <f>VLOOKUP(D498, Lookup_Table!$A$2:$B$10, 2, FALSE)</f>
        <v>Dr. Rao</v>
      </c>
      <c r="G498" t="str">
        <f t="shared" si="7"/>
        <v>Senior</v>
      </c>
    </row>
    <row r="499" spans="1:7" x14ac:dyDescent="0.3">
      <c r="A499" t="s">
        <v>510</v>
      </c>
      <c r="B499" t="s">
        <v>888</v>
      </c>
      <c r="C499">
        <v>66</v>
      </c>
      <c r="D499" t="s">
        <v>908</v>
      </c>
      <c r="E499">
        <v>3</v>
      </c>
      <c r="F499" t="str">
        <f>VLOOKUP(D499, Lookup_Table!$A$2:$B$10, 2, FALSE)</f>
        <v>Dr. Rao</v>
      </c>
      <c r="G499" t="str">
        <f t="shared" si="7"/>
        <v>Senior</v>
      </c>
    </row>
    <row r="500" spans="1:7" x14ac:dyDescent="0.3">
      <c r="A500" t="s">
        <v>511</v>
      </c>
      <c r="B500" t="s">
        <v>889</v>
      </c>
      <c r="C500">
        <v>64</v>
      </c>
      <c r="D500" t="s">
        <v>907</v>
      </c>
      <c r="E500">
        <v>4</v>
      </c>
      <c r="F500" t="str">
        <f>VLOOKUP(D500, Lookup_Table!$A$2:$B$10, 2, FALSE)</f>
        <v>Dr. Chatterjee</v>
      </c>
      <c r="G500" t="str">
        <f t="shared" si="7"/>
        <v>Senior</v>
      </c>
    </row>
    <row r="501" spans="1:7" x14ac:dyDescent="0.3">
      <c r="A501" t="s">
        <v>512</v>
      </c>
      <c r="B501" t="s">
        <v>706</v>
      </c>
      <c r="C501">
        <v>42</v>
      </c>
      <c r="D501" t="s">
        <v>905</v>
      </c>
      <c r="E501">
        <v>6</v>
      </c>
      <c r="F501" t="str">
        <f>VLOOKUP(D501, Lookup_Table!$A$2:$B$10, 2, FALSE)</f>
        <v>Dr. Gupta</v>
      </c>
      <c r="G501" t="str">
        <f t="shared" si="7"/>
        <v>Adult</v>
      </c>
    </row>
    <row r="502" spans="1:7" x14ac:dyDescent="0.3">
      <c r="A502" t="s">
        <v>513</v>
      </c>
      <c r="B502" t="s">
        <v>890</v>
      </c>
      <c r="C502">
        <v>28</v>
      </c>
      <c r="D502" t="s">
        <v>904</v>
      </c>
      <c r="E502">
        <v>1</v>
      </c>
      <c r="F502" t="str">
        <f>VLOOKUP(D502, Lookup_Table!$A$2:$B$10, 2, FALSE)</f>
        <v>Dr. Deshmukh</v>
      </c>
      <c r="G502" t="str">
        <f t="shared" si="7"/>
        <v>Adult</v>
      </c>
    </row>
    <row r="503" spans="1:7" x14ac:dyDescent="0.3">
      <c r="A503" t="s">
        <v>514</v>
      </c>
      <c r="B503" t="s">
        <v>852</v>
      </c>
      <c r="C503">
        <v>57</v>
      </c>
      <c r="D503" t="s">
        <v>907</v>
      </c>
      <c r="E503">
        <v>36</v>
      </c>
      <c r="F503" t="str">
        <f>VLOOKUP(D503, Lookup_Table!$A$2:$B$10, 2, FALSE)</f>
        <v>Dr. Chatterjee</v>
      </c>
      <c r="G503" t="str">
        <f t="shared" si="7"/>
        <v>Adult</v>
      </c>
    </row>
    <row r="504" spans="1:7" x14ac:dyDescent="0.3">
      <c r="A504" t="s">
        <v>515</v>
      </c>
      <c r="B504" t="s">
        <v>840</v>
      </c>
      <c r="C504">
        <v>44</v>
      </c>
      <c r="D504" t="s">
        <v>904</v>
      </c>
      <c r="E504">
        <v>12</v>
      </c>
      <c r="F504" t="str">
        <f>VLOOKUP(D504, Lookup_Table!$A$2:$B$10, 2, FALSE)</f>
        <v>Dr. Deshmukh</v>
      </c>
      <c r="G504" t="str">
        <f t="shared" si="7"/>
        <v>Adult</v>
      </c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sqref="A1:J2"/>
    </sheetView>
  </sheetViews>
  <sheetFormatPr defaultRowHeight="14.4" x14ac:dyDescent="0.3"/>
  <sheetData>
    <row r="1" spans="1:10" x14ac:dyDescent="0.3">
      <c r="A1" s="3" t="s">
        <v>1763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5" spans="1:10" x14ac:dyDescent="0.3">
      <c r="B5" s="2" t="s">
        <v>5</v>
      </c>
      <c r="C5" s="2" t="s">
        <v>1764</v>
      </c>
    </row>
    <row r="6" spans="1:10" x14ac:dyDescent="0.3">
      <c r="B6" t="s">
        <v>904</v>
      </c>
      <c r="C6">
        <v>252</v>
      </c>
    </row>
    <row r="7" spans="1:10" x14ac:dyDescent="0.3">
      <c r="B7" t="s">
        <v>908</v>
      </c>
      <c r="C7">
        <v>249</v>
      </c>
    </row>
    <row r="8" spans="1:10" x14ac:dyDescent="0.3">
      <c r="B8" t="s">
        <v>902</v>
      </c>
      <c r="C8">
        <v>238</v>
      </c>
    </row>
    <row r="9" spans="1:10" x14ac:dyDescent="0.3">
      <c r="B9" t="s">
        <v>905</v>
      </c>
      <c r="C9">
        <v>236</v>
      </c>
    </row>
    <row r="10" spans="1:10" x14ac:dyDescent="0.3">
      <c r="B10" t="s">
        <v>907</v>
      </c>
      <c r="C10">
        <v>217</v>
      </c>
    </row>
    <row r="11" spans="1:10" x14ac:dyDescent="0.3">
      <c r="B11" t="s">
        <v>906</v>
      </c>
      <c r="C11">
        <v>209</v>
      </c>
    </row>
    <row r="12" spans="1:10" x14ac:dyDescent="0.3">
      <c r="B12" t="s">
        <v>909</v>
      </c>
      <c r="C12">
        <v>207</v>
      </c>
    </row>
    <row r="13" spans="1:10" x14ac:dyDescent="0.3">
      <c r="B13" t="s">
        <v>901</v>
      </c>
      <c r="C13">
        <v>197</v>
      </c>
    </row>
    <row r="14" spans="1:10" x14ac:dyDescent="0.3">
      <c r="B14" t="s">
        <v>903</v>
      </c>
      <c r="C14">
        <v>195</v>
      </c>
    </row>
  </sheetData>
  <mergeCells count="1">
    <mergeCell ref="A1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4_5_Filter_Sort</vt:lpstr>
      <vt:lpstr>Lookup_Table</vt:lpstr>
      <vt:lpstr>7_8_Merge_Transform</vt:lpstr>
      <vt:lpstr>6_9_Chart_Aggregate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Bhavneet Kaur</dc:creator>
  <cp:lastModifiedBy>Bhavneet Kaur</cp:lastModifiedBy>
  <dcterms:created xsi:type="dcterms:W3CDTF">2026-04-18T04:43:14Z</dcterms:created>
  <dcterms:modified xsi:type="dcterms:W3CDTF">2026-04-18T05:26:32Z</dcterms:modified>
</cp:coreProperties>
</file>